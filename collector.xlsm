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A4FAA922-F5B9-47BD-9BFF-0A7F1862C651}" xr6:coauthVersionLast="47" xr6:coauthVersionMax="47" xr10:uidLastSave="{00000000-0000-0000-0000-000000000000}"/>
  <bookViews>
    <workbookView xWindow="9915" yWindow="0" windowWidth="18885" windowHeight="9225" xr2:uid="{51093279-733D-4C95-9185-E5E4611C1814}"/>
  </bookViews>
  <sheets>
    <sheet name="Cover" sheetId="1" r:id="rId1"/>
    <sheet name="Positions" sheetId="2" r:id="rId2"/>
    <sheet name="Executions" sheetId="4" r:id="rId3"/>
    <sheet name="Lo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4" a="1"/>
  <c r="B7" i="1"/>
  <c r="F2" i="1"/>
  <c r="F4" i="1"/>
  <c r="E2" i="1"/>
  <c r="D3" i="1"/>
  <c r="C8" i="1"/>
  <c r="B4" i="1"/>
  <c r="G8" i="1"/>
  <c r="C7" i="1"/>
  <c r="B8" i="1"/>
  <c r="B6" i="1"/>
  <c r="F5" i="1"/>
  <c r="F3" i="1"/>
  <c r="D5" i="1"/>
  <c r="E4" i="1"/>
  <c r="G7" i="1"/>
  <c r="E8" i="1"/>
  <c r="G3" i="1"/>
  <c r="H3" i="1"/>
  <c r="G2" i="1"/>
  <c r="B3" i="1"/>
  <c r="D6" i="1"/>
  <c r="F8" i="1"/>
  <c r="H8" i="1"/>
  <c r="B5" i="1"/>
  <c r="E6" i="1"/>
  <c r="B2" i="1"/>
  <c r="C5" i="1"/>
  <c r="H2" i="1"/>
  <c r="H5" i="1"/>
  <c r="H4" i="1"/>
  <c r="E5" i="1"/>
  <c r="D4" i="1"/>
  <c r="G4" i="1"/>
  <c r="G6" i="1"/>
  <c r="F7" i="1"/>
  <c r="D2" i="1"/>
  <c r="H7" i="1"/>
  <c r="D7" i="1"/>
  <c r="C2" i="1"/>
  <c r="H6" i="1"/>
  <c r="C4" i="1"/>
  <c r="F6" i="1"/>
  <c r="D8" i="1"/>
  <c r="E7" i="1"/>
  <c r="C6" i="1"/>
  <c r="G5" i="1"/>
  <c r="E3" i="1"/>
  <c r="C3" i="1"/>
  <c r="A1" i="2" l="1"/>
  <c r="A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<sst xmlns="http://schemas.openxmlformats.org/spreadsheetml/2006/main" count="190" uniqueCount="79">
  <si>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</si>
  <si>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</si>
  <si>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</si>
  <si>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</si>
  <si>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</si>
  <si>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</si>
  <si>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</si>
  <si>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</si>
  <si>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</si>
  <si>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</si>
  <si>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</si>
  <si>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</si>
  <si>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</si>
  <si>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</si>
  <si>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</si>
  <si>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</si>
  <si>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</si>
  <si>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</si>
  <si>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</si>
  <si>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</si>
  <si>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</si>
  <si>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</si>
  <si>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</si>
  <si>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</si>
  <si>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</si>
  <si>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</si>
  <si>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</si>
  <si>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</si>
  <si>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</si>
  <si>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</si>
  <si>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</si>
  <si>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</si>
  <si>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</si>
  <si>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</si>
  <si>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</si>
  <si>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</si>
  <si>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</si>
  <si>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</si>
  <si>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</si>
  <si>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9432</t>
  </si>
  <si>
    <t>DoBuy result=</t>
  </si>
  <si>
    <t>DoRepay result=</t>
  </si>
  <si>
    <t>ＮＴＴ</t>
    <phoneticPr fontId="1"/>
  </si>
  <si>
    <t>特定</t>
    <phoneticPr fontId="1"/>
  </si>
  <si>
    <t>JAX</t>
    <phoneticPr fontId="1"/>
  </si>
  <si>
    <t>一般</t>
    <phoneticPr fontId="1"/>
  </si>
  <si>
    <t>1日</t>
    <phoneticPr fontId="1"/>
  </si>
  <si>
    <t>買建</t>
    <phoneticPr fontId="1"/>
  </si>
  <si>
    <t>約定日</t>
  </si>
  <si>
    <t>受渡日</t>
  </si>
  <si>
    <t>市場名称</t>
  </si>
  <si>
    <t>取引</t>
  </si>
  <si>
    <t>約定数量</t>
  </si>
  <si>
    <t>約定単価</t>
  </si>
  <si>
    <t>約定代金</t>
  </si>
  <si>
    <t>税区分</t>
  </si>
  <si>
    <t>特別空売り料</t>
  </si>
  <si>
    <t/>
  </si>
  <si>
    <t>2026/01/27 09:00:57</t>
    <phoneticPr fontId="1"/>
  </si>
  <si>
    <t>信用新規</t>
    <phoneticPr fontId="1"/>
  </si>
  <si>
    <t>2026/01/27 09:08:02</t>
    <phoneticPr fontId="1"/>
  </si>
  <si>
    <t>信用返済</t>
    <phoneticPr fontId="1"/>
  </si>
  <si>
    <t>売埋</t>
    <phoneticPr fontId="1"/>
  </si>
  <si>
    <t>源徴あり</t>
    <phoneticPr fontId="1"/>
  </si>
  <si>
    <t>2026/01/27 09:29:23</t>
    <phoneticPr fontId="1"/>
  </si>
  <si>
    <t>2026/01/27 09:34:35</t>
    <phoneticPr fontId="1"/>
  </si>
  <si>
    <t>2026/01/27 10:03:52</t>
    <phoneticPr fontId="1"/>
  </si>
  <si>
    <t>2026/01/27 10:04:14</t>
    <phoneticPr fontId="1"/>
  </si>
  <si>
    <t>東証</t>
    <phoneticPr fontId="1"/>
  </si>
  <si>
    <t>2026/01/27 10:07:36</t>
    <phoneticPr fontId="1"/>
  </si>
  <si>
    <t>2026/01/27 10:10:33</t>
    <phoneticPr fontId="1"/>
  </si>
  <si>
    <t>銘柄コード</t>
    <phoneticPr fontId="1"/>
  </si>
  <si>
    <t>2026/01/27 14:23:02</t>
    <phoneticPr fontId="1"/>
  </si>
  <si>
    <t>ソフトバンク</t>
    <phoneticPr fontId="1"/>
  </si>
  <si>
    <t>現物</t>
    <phoneticPr fontId="1"/>
  </si>
  <si>
    <t>買付</t>
    <phoneticPr fontId="1"/>
  </si>
  <si>
    <t>2026/01/27 09:01:54</t>
    <phoneticPr fontId="1"/>
  </si>
  <si>
    <t>フィックスターズ</t>
    <phoneticPr fontId="1"/>
  </si>
  <si>
    <t>--------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</si>
</sst>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0" fillId="4" borderId="0" xfId="0" applyFont="1" applyFill="1">
      <alignment vertical="center"/>
    </xf>
    <xf numFmtId="49" fontId="10" fillId="4" borderId="0" xfId="0" applyNumberFormat="1" applyFont="1" applyFill="1">
      <alignment vertical="center"/>
    </xf>
    <xf numFmtId="49" fontId="0" fillId="0" borderId="0" xfId="0" quotePrefix="1" applyNumberFormat="1">
      <alignment vertical="center"/>
    </xf>
    <xf numFmtId="176" fontId="0" fillId="0" borderId="0" xfId="0" applyNumberFormat="1">
      <alignment vertical="center"/>
    </xf>
    <xf numFmtId="176" fontId="10" fillId="4" borderId="0" xfId="0" applyNumberFormat="1" applyFont="1" applyFill="1">
      <alignment vertical="center"/>
    </xf>
    <xf numFmtId="176" fontId="0" fillId="0" borderId="0" xfId="0" quotePrefix="1" applyNumberFormat="1">
      <alignment vertical="center"/>
    </xf>
    <xf numFmtId="0" fontId="9" fillId="4" borderId="0" xfId="0" quotePrefix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86975305f8b40969acfecb0d87d57f2">
      <tp t="s">
        <v/>
        <stp/>
        <stp>ExecutionList</stp>
        <stp>2444482639984,0,0,0,0</stp>
        <stp>0</stp>
        <stp/>
        <stp>A</stp>
        <stp>0</stp>
        <stp>0</stp>
        <tr r="A1" s="4"/>
      </tp>
      <tp t="s">
        <v/>
        <stp/>
        <stp>MarginPositionList</stp>
        <stp>2444482642688,0,0,0,0</stp>
        <stp/>
        <stp>A</stp>
        <stp>0</stp>
        <stp>0</stp>
        <stp>0</stp>
        <tr r="A1" s="2"/>
      </tp>
      <tp>
        <v>-18</v>
        <stp/>
        <stp>Market</stp>
        <stp>STOCK</stp>
        <stp>72030.T</stp>
        <stp>前日比</stp>
        <tr r="G5" s="1"/>
      </tp>
      <tp>
        <v>-9</v>
        <stp/>
        <stp>Market</stp>
        <stp>STOCK</stp>
        <stp>70110.T</stp>
        <stp>前日比</stp>
        <tr r="G4" s="1"/>
      </tp>
    </main>
    <main first="rtdsrv.d86975305f8b40969acfecb0d87d57f2">
      <tp>
        <v>-56</v>
        <stp/>
        <stp>Market</stp>
        <stp>STOCK</stp>
        <stp>67580.T</stp>
        <stp>前日比</stp>
        <tr r="G3" s="1"/>
      </tp>
    </main>
    <main first="rtdsrv.d86975305f8b40969acfecb0d87d57f2">
      <tp t="s">
        <v>2026/01/27</v>
        <stp/>
        <stp>Market</stp>
        <stp>STOCK</stp>
        <stp>285A0.T</stp>
        <stp>現在日付</stp>
        <tr r="C2" s="1"/>
      </tp>
      <tp t="s">
        <v>2026/01/27</v>
        <stp/>
        <stp>Market</stp>
        <stp>STOCK</stp>
        <stp>99840.T</stp>
        <stp>現在日付</stp>
        <tr r="C8" s="1"/>
      </tp>
    </main>
    <main first="rtdsrv.d86975305f8b40969acfecb0d87d57f2">
      <tp>
        <v>1000</v>
        <stp/>
        <stp>Market</stp>
        <stp>STOCK</stp>
        <stp>285A0.T</stp>
        <stp>前日比</stp>
        <tr r="G2" s="1"/>
      </tp>
    </main>
    <main first="rtdsrv.d86975305f8b40969acfecb0d87d57f2">
      <tp t="s">
        <v>2026/01/27</v>
        <stp/>
        <stp>Market</stp>
        <stp>STOCK</stp>
        <stp>94320.T</stp>
        <stp>現在日付</stp>
        <tr r="C7" s="1"/>
      </tp>
    </main>
    <main first="rtdsrv.d86975305f8b40969acfecb0d87d57f2">
      <tp t="s">
        <v>2026/01/27</v>
        <stp/>
        <stp>Market</stp>
        <stp>STOCK</stp>
        <stp>67580.T</stp>
        <stp>現在日付</stp>
        <tr r="C3" s="1"/>
      </tp>
      <tp>
        <v>-14</v>
        <stp/>
        <stp>Market</stp>
        <stp>STOCK</stp>
        <stp>99840.T</stp>
        <stp>前日比</stp>
        <tr r="G8" s="1"/>
      </tp>
      <tp>
        <v>-1.7</v>
        <stp/>
        <stp>Market</stp>
        <stp>STOCK</stp>
        <stp>94320.T</stp>
        <stp>前日比</stp>
        <tr r="G7" s="1"/>
      </tp>
    </main>
    <main first="rtdsrv.d86975305f8b40969acfecb0d87d57f2">
      <tp t="s">
        <v>2026/01/27</v>
        <stp/>
        <stp>Market</stp>
        <stp>STOCK</stp>
        <stp>70110.T</stp>
        <stp>現在日付</stp>
        <tr r="C4" s="1"/>
      </tp>
      <tp>
        <v>41.5</v>
        <stp/>
        <stp>Market</stp>
        <stp>STOCK</stp>
        <stp>83060.T</stp>
        <stp>前日比</stp>
        <tr r="G6" s="1"/>
      </tp>
    </main>
    <main first="rtdsrv.d86975305f8b40969acfecb0d87d57f2">
      <tp t="s">
        <v>2026/01/27</v>
        <stp/>
        <stp>Market</stp>
        <stp>STOCK</stp>
        <stp>72030.T</stp>
        <stp>現在日付</stp>
        <tr r="C5" s="1"/>
      </tp>
    </main>
    <main first="rtdsrv.d86975305f8b40969acfecb0d87d57f2">
      <tp t="s">
        <v>2026/01/27</v>
        <stp/>
        <stp>Market</stp>
        <stp>STOCK</stp>
        <stp>83060.T</stp>
        <stp>現在日付</stp>
        <tr r="C6" s="1"/>
      </tp>
      <tp t="s">
        <v>15:30:00</v>
        <stp/>
        <stp>Market</stp>
        <stp>STOCK</stp>
        <stp>285A0.T</stp>
        <stp>現在値詳細時刻</stp>
        <tr r="D2" s="1"/>
      </tp>
    </main>
    <main first="rtdsrv.d86975305f8b40969acfecb0d87d57f2">
      <tp>
        <v>4065</v>
        <stp/>
        <stp>Market</stp>
        <stp>STOCK</stp>
        <stp>99840.T</stp>
        <stp>前日終値</stp>
        <tr r="F8" s="1"/>
      </tp>
      <tp t="s">
        <v>三菱重工業</v>
        <stp/>
        <stp>Market</stp>
        <stp>STOCK</stp>
        <stp>70110.T</stp>
        <stp>銘柄名称</stp>
        <tr r="B4" s="1"/>
      </tp>
    </main>
    <main first="rtdsrv.d86975305f8b40969acfecb0d87d57f2">
      <tp>
        <v>17450</v>
        <stp/>
        <stp>Market</stp>
        <stp>STOCK</stp>
        <stp>285A0.T</stp>
        <stp>前日終値</stp>
        <tr r="F2" s="1"/>
      </tp>
    </main>
    <main first="rtdsrv.d86975305f8b40969acfecb0d87d57f2">
      <tp t="s">
        <v>三菱ＵＦＪフィナンシャルＧ</v>
        <stp/>
        <stp>Market</stp>
        <stp>STOCK</stp>
        <stp>83060.T</stp>
        <stp>銘柄名称</stp>
        <tr r="B6" s="1"/>
      </tp>
    </main>
    <main first="rtdsrv.d86975305f8b40969acfecb0d87d57f2">
      <tp t="s">
        <v>トヨタ自動車</v>
        <stp/>
        <stp>Market</stp>
        <stp>STOCK</stp>
        <stp>72030.T</stp>
        <stp>銘柄名称</stp>
        <tr r="B5" s="1"/>
      </tp>
    </main>
    <main first="rtdsrv.d86975305f8b40969acfecb0d87d57f2">
      <tp t="s">
        <v>15:30:00</v>
        <stp/>
        <stp>Market</stp>
        <stp>STOCK</stp>
        <stp>67580.T</stp>
        <stp>現在値詳細時刻</stp>
        <tr r="D3" s="1"/>
      </tp>
      <tp t="s">
        <v>ＮＴＴ</v>
        <stp/>
        <stp>Market</stp>
        <stp>STOCK</stp>
        <stp>94320.T</stp>
        <stp>銘柄名称</stp>
        <tr r="B7" s="1"/>
      </tp>
    </main>
    <main first="rtdsrv.d86975305f8b40969acfecb0d87d57f2"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72030.T</stp>
        <stp>現在値詳細時刻</stp>
        <tr r="D5" s="1"/>
      </tp>
      <tp t="s">
        <v>ソニーグループ</v>
        <stp/>
        <stp>Market</stp>
        <stp>STOCK</stp>
        <stp>67580.T</stp>
        <stp>銘柄名称</stp>
        <tr r="B3" s="1"/>
      </tp>
    </main>
    <main first="rtdsrv.d86975305f8b40969acfecb0d87d57f2">
      <tp t="s">
        <v>ソフトバンクグループ</v>
        <stp/>
        <stp>Market</stp>
        <stp>STOCK</stp>
        <stp>99840.T</stp>
        <stp>銘柄名称</stp>
        <tr r="B8" s="1"/>
      </tp>
      <tp t="s">
        <v>キオクシアホールディングス</v>
        <stp/>
        <stp>Market</stp>
        <stp>STOCK</stp>
        <stp>285A0.T</stp>
        <stp>銘柄名称</stp>
        <tr r="B2" s="1"/>
      </tp>
    </main>
    <main first="rtdsrv.d86975305f8b40969acfecb0d87d57f2">
      <tp>
        <v>4559</v>
        <stp/>
        <stp>Market</stp>
        <stp>STOCK</stp>
        <stp>70110.T</stp>
        <stp>前日終値</stp>
        <tr r="F4" s="1"/>
      </tp>
    </main>
    <main first="rtdsrv.d86975305f8b40969acfecb0d87d57f2">
      <tp t="s">
        <v>15:30:00</v>
        <stp/>
        <stp>Market</stp>
        <stp>STOCK</stp>
        <stp>83060.T</stp>
        <stp>現在値詳細時刻</stp>
        <tr r="D6" s="1"/>
      </tp>
      <tp>
        <v>2730</v>
        <stp/>
        <stp>Market</stp>
        <stp>STOCK</stp>
        <stp>83060.T</stp>
        <stp>前日終値</stp>
        <tr r="F6" s="1"/>
      </tp>
    </main>
    <main first="rtdsrv.d86975305f8b40969acfecb0d87d57f2"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  <tp>
        <v>3477</v>
        <stp/>
        <stp>Market</stp>
        <stp>STOCK</stp>
        <stp>72030.T</stp>
        <stp>前日終値</stp>
        <tr r="F5" s="1"/>
      </tp>
    </main>
    <main first="rtdsrv.d86975305f8b40969acfecb0d87d57f2">
      <tp>
        <v>156.9</v>
        <stp/>
        <stp>Market</stp>
        <stp>STOCK</stp>
        <stp>94320.T</stp>
        <stp>前日終値</stp>
        <tr r="F7" s="1"/>
      </tp>
    </main>
    <main first="rtdsrv.d86975305f8b40969acfecb0d87d57f2">
      <tp>
        <v>3546</v>
        <stp/>
        <stp>Market</stp>
        <stp>STOCK</stp>
        <stp>67580.T</stp>
        <stp>前日終値</stp>
        <tr r="F3" s="1"/>
      </tp>
    </main>
    <main first="rtdsrv.d86975305f8b40969acfecb0d87d57f2">
      <tp>
        <v>28112500</v>
        <stp/>
        <stp>Market</stp>
        <stp>STOCK</stp>
        <stp>285A0.T</stp>
        <stp>出来高</stp>
        <tr r="H2" s="1"/>
      </tp>
    </main>
    <main first="rtdsrv.d86975305f8b40969acfecb0d87d57f2">
      <tp>
        <v>17298200</v>
        <stp/>
        <stp>Market</stp>
        <stp>STOCK</stp>
        <stp>67580.T</stp>
        <stp>出来高</stp>
        <tr r="H3" s="1"/>
      </tp>
      <tp>
        <v>18214200</v>
        <stp/>
        <stp>Market</stp>
        <stp>STOCK</stp>
        <stp>72030.T</stp>
        <stp>出来高</stp>
        <tr r="H5" s="1"/>
      </tp>
      <tp>
        <v>19518500</v>
        <stp/>
        <stp>Market</stp>
        <stp>STOCK</stp>
        <stp>70110.T</stp>
        <stp>出来高</stp>
        <tr r="H4" s="1"/>
      </tp>
      <tp>
        <v>37732900</v>
        <stp/>
        <stp>Market</stp>
        <stp>STOCK</stp>
        <stp>83060.T</stp>
        <stp>出来高</stp>
        <tr r="H6" s="1"/>
      </tp>
      <tp>
        <v>30045500</v>
        <stp/>
        <stp>Market</stp>
        <stp>STOCK</stp>
        <stp>99840.T</stp>
        <stp>出来高</stp>
        <tr r="H8" s="1"/>
      </tp>
      <tp>
        <v>266984600</v>
        <stp/>
        <stp>Market</stp>
        <stp>STOCK</stp>
        <stp>94320.T</stp>
        <stp>出来高</stp>
        <tr r="H7" s="1"/>
      </tp>
    </main>
    <main first="rtdsrv.d86975305f8b40969acfecb0d87d57f2">
      <tp>
        <v>3490</v>
        <stp/>
        <stp>Market</stp>
        <stp>STOCK</stp>
        <stp>67580.T</stp>
        <stp>現在値</stp>
        <tr r="E3" s="1"/>
      </tp>
      <tp>
        <v>4550</v>
        <stp/>
        <stp>Market</stp>
        <stp>STOCK</stp>
        <stp>70110.T</stp>
        <stp>現在値</stp>
        <tr r="E4" s="1"/>
      </tp>
      <tp>
        <v>3459</v>
        <stp/>
        <stp>Market</stp>
        <stp>STOCK</stp>
        <stp>72030.T</stp>
        <stp>現在値</stp>
        <tr r="E5" s="1"/>
      </tp>
      <tp>
        <v>18450</v>
        <stp/>
        <stp>Market</stp>
        <stp>STOCK</stp>
        <stp>285A0.T</stp>
        <stp>現在値</stp>
        <tr r="E2" s="1"/>
      </tp>
    </main>
    <main first="rtdsrv.d86975305f8b40969acfecb0d87d57f2">
      <tp>
        <v>2771.5</v>
        <stp/>
        <stp>Market</stp>
        <stp>STOCK</stp>
        <stp>83060.T</stp>
        <stp>現在値</stp>
        <tr r="E6" s="1"/>
      </tp>
      <tp>
        <v>4051</v>
        <stp/>
        <stp>Market</stp>
        <stp>STOCK</stp>
        <stp>99840.T</stp>
        <stp>現在値</stp>
        <tr r="E8" s="1"/>
      </tp>
      <tp>
        <v>155.19999999999999</v>
        <stp/>
        <stp>Market</stp>
        <stp>STOCK</stp>
        <stp>94320.T</stp>
        <stp>現在値</stp>
        <tr r="E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11" sqref="B11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2026/01/27</v>
      </c>
      <c r="D2" s="7" t="str">
        <f>_xll.RssMarket($A2, D$1)</f>
        <v>15:30:00</v>
      </c>
      <c r="E2" s="8">
        <f>_xll.RssMarket($A2, E$1)</f>
        <v>18450</v>
      </c>
      <c r="F2" s="8">
        <f>_xll.RssMarket($A2, F$1)</f>
        <v>17450</v>
      </c>
      <c r="G2" s="8">
        <f>_xll.RssMarket($A2, G$1)</f>
        <v>1000</v>
      </c>
      <c r="H2" s="8">
        <f>_xll.RssMarket($A2, H$1)</f>
        <v>28112500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2026/01/27</v>
      </c>
      <c r="D3" s="7" t="str">
        <f>_xll.RssMarket($A3, D$1)</f>
        <v>15:30:00</v>
      </c>
      <c r="E3" s="8">
        <f>_xll.RssMarket($A3, E$1)</f>
        <v>3490</v>
      </c>
      <c r="F3" s="8">
        <f>_xll.RssMarket($A3, F$1)</f>
        <v>3546</v>
      </c>
      <c r="G3" s="8">
        <f>_xll.RssMarket($A3, G$1)</f>
        <v>-56</v>
      </c>
      <c r="H3" s="8">
        <f>_xll.RssMarket($A3, H$1)</f>
        <v>17298200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2026/01/27</v>
      </c>
      <c r="D4" s="7" t="str">
        <f>_xll.RssMarket($A4, D$1)</f>
        <v>15:30:00</v>
      </c>
      <c r="E4" s="8">
        <f>_xll.RssMarket($A4, E$1)</f>
        <v>4550</v>
      </c>
      <c r="F4" s="8">
        <f>_xll.RssMarket($A4, F$1)</f>
        <v>4559</v>
      </c>
      <c r="G4" s="8">
        <f>_xll.RssMarket($A4, G$1)</f>
        <v>-9</v>
      </c>
      <c r="H4" s="8">
        <f>_xll.RssMarket($A4, H$1)</f>
        <v>19518500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2026/01/27</v>
      </c>
      <c r="D5" s="7" t="str">
        <f>_xll.RssMarket($A5, D$1)</f>
        <v>15:30:00</v>
      </c>
      <c r="E5" s="8">
        <f>_xll.RssMarket($A5, E$1)</f>
        <v>3459</v>
      </c>
      <c r="F5" s="8">
        <f>_xll.RssMarket($A5, F$1)</f>
        <v>3477</v>
      </c>
      <c r="G5" s="8">
        <f>_xll.RssMarket($A5, G$1)</f>
        <v>-18</v>
      </c>
      <c r="H5" s="8">
        <f>_xll.RssMarket($A5, H$1)</f>
        <v>18214200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2026/01/27</v>
      </c>
      <c r="D6" s="7" t="str">
        <f>_xll.RssMarket($A6, D$1)</f>
        <v>15:30:00</v>
      </c>
      <c r="E6" s="8">
        <f>_xll.RssMarket($A6, E$1)</f>
        <v>2771.5</v>
      </c>
      <c r="F6" s="8">
        <f>_xll.RssMarket($A6, F$1)</f>
        <v>2730</v>
      </c>
      <c r="G6" s="8">
        <f>_xll.RssMarket($A6, G$1)</f>
        <v>41.5</v>
      </c>
      <c r="H6" s="8">
        <f>_xll.RssMarket($A6, H$1)</f>
        <v>37732900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2026/01/27</v>
      </c>
      <c r="D7" s="7" t="str">
        <f>_xll.RssMarket($A7, D$1)</f>
        <v>15:30:00</v>
      </c>
      <c r="E7" s="8">
        <f>_xll.RssMarket($A7, E$1)</f>
        <v>155.19999999999999</v>
      </c>
      <c r="F7" s="8">
        <f>_xll.RssMarket($A7, F$1)</f>
        <v>156.9</v>
      </c>
      <c r="G7" s="8">
        <f>_xll.RssMarket($A7, G$1)</f>
        <v>-1.7</v>
      </c>
      <c r="H7" s="8">
        <f>_xll.RssMarket($A7, H$1)</f>
        <v>266984600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2026/01/27</v>
      </c>
      <c r="D8" s="7" t="str">
        <f>_xll.RssMarket($A8, D$1)</f>
        <v>15:30:00</v>
      </c>
      <c r="E8" s="8">
        <f>_xll.RssMarket($A8, E$1)</f>
        <v>4051</v>
      </c>
      <c r="F8" s="8">
        <f>_xll.RssMarket($A8, F$1)</f>
        <v>4065</v>
      </c>
      <c r="G8" s="8">
        <f>_xll.RssMarket($A8, G$1)</f>
        <v>-14</v>
      </c>
      <c r="H8" s="8">
        <f>_xll.RssMarket($A8, H$1)</f>
        <v>30045500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workbookViewId="0">
      <selection activeCell="A6" sqref="A6"/>
    </sheetView>
  </sheetViews>
  <sheetFormatPr defaultColWidth="11.125" defaultRowHeight="18.75"/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s="25" t="s">
        <v>71</v>
      </c>
      <c r="B2" s="25" t="s">
        <v>17</v>
      </c>
      <c r="C2" s="25" t="s">
        <v>18</v>
      </c>
      <c r="D2" s="25" t="s">
        <v>19</v>
      </c>
      <c r="E2" s="25" t="s">
        <v>20</v>
      </c>
      <c r="F2" s="25" t="s">
        <v>21</v>
      </c>
      <c r="G2" s="25" t="s">
        <v>22</v>
      </c>
      <c r="H2" s="25" t="s">
        <v>23</v>
      </c>
      <c r="I2" s="25" t="s">
        <v>24</v>
      </c>
      <c r="J2" s="25" t="s">
        <v>25</v>
      </c>
      <c r="K2" s="25" t="s">
        <v>26</v>
      </c>
      <c r="L2" s="25" t="s">
        <v>27</v>
      </c>
      <c r="M2" s="25" t="s">
        <v>28</v>
      </c>
      <c r="N2" s="25" t="s">
        <v>29</v>
      </c>
      <c r="O2" s="25" t="s">
        <v>30</v>
      </c>
      <c r="P2" s="25" t="s">
        <v>31</v>
      </c>
      <c r="Q2" s="25" t="s">
        <v>32</v>
      </c>
      <c r="R2" s="25" t="s">
        <v>33</v>
      </c>
      <c r="S2" s="25" t="s">
        <v>34</v>
      </c>
      <c r="T2" s="25" t="s">
        <v>35</v>
      </c>
    </row>
    <row r="3" spans="1:20">
      <c r="A3" s="16" t="s">
        <v>78</v>
      </c>
      <c r="B3" s="16" t="s">
        <v>78</v>
      </c>
      <c r="C3" s="16" t="s">
        <v>78</v>
      </c>
      <c r="D3" s="16" t="s">
        <v>78</v>
      </c>
      <c r="E3" s="16" t="s">
        <v>78</v>
      </c>
      <c r="F3" s="16" t="s">
        <v>78</v>
      </c>
      <c r="G3" s="16" t="s">
        <v>78</v>
      </c>
      <c r="H3" s="16" t="s">
        <v>78</v>
      </c>
      <c r="I3" s="16" t="s">
        <v>78</v>
      </c>
      <c r="J3" s="16" t="s">
        <v>78</v>
      </c>
      <c r="K3" s="16" t="s">
        <v>78</v>
      </c>
      <c r="L3" s="16" t="s">
        <v>78</v>
      </c>
      <c r="M3" s="16" t="s">
        <v>78</v>
      </c>
      <c r="N3" s="16" t="s">
        <v>78</v>
      </c>
      <c r="O3" s="16" t="s">
        <v>78</v>
      </c>
      <c r="P3" s="16" t="s">
        <v>78</v>
      </c>
      <c r="Q3" s="16" t="s">
        <v>78</v>
      </c>
      <c r="R3" s="16" t="s">
        <v>78</v>
      </c>
      <c r="S3" s="16" t="s">
        <v>78</v>
      </c>
      <c r="T3" s="16" t="s">
        <v>78</v>
      </c>
    </row>
    <row r="4" spans="1:20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E2142-D80F-49E4-92CD-08204C9936D4}">
  <sheetPr codeName="Sheet4"/>
  <dimension ref="A1:O13"/>
  <sheetViews>
    <sheetView workbookViewId="0">
      <selection activeCell="M18" sqref="M18"/>
    </sheetView>
  </sheetViews>
  <sheetFormatPr defaultColWidth="19.875" defaultRowHeight="18.75"/>
  <cols>
    <col min="2" max="2" width="9.5" bestFit="1" customWidth="1"/>
    <col min="3" max="3" width="11.25" style="18" bestFit="1" customWidth="1"/>
    <col min="5" max="8" width="9.25" bestFit="1" customWidth="1"/>
    <col min="9" max="9" width="9" bestFit="1" customWidth="1"/>
    <col min="10" max="10" width="8.5" bestFit="1" customWidth="1"/>
    <col min="11" max="11" width="9.25" bestFit="1" customWidth="1"/>
    <col min="12" max="12" width="9.25" style="22" bestFit="1" customWidth="1"/>
    <col min="13" max="13" width="9.25" bestFit="1" customWidth="1"/>
    <col min="14" max="14" width="9" bestFit="1" customWidth="1"/>
    <col min="15" max="15" width="13.25" bestFit="1" customWidth="1"/>
  </cols>
  <sheetData>
    <row r="1" spans="1:15">
      <c r="A1" t="str" cm="1">
        <f t="array" ref="A1">_xll.RssExecutionList($A$2:$O$2)</f>
        <v>=RssExecutionList($A$2:$O$2) =&gt; 配信中</v>
      </c>
    </row>
    <row r="2" spans="1:15">
      <c r="A2" s="19" t="s">
        <v>48</v>
      </c>
      <c r="B2" s="19" t="s">
        <v>49</v>
      </c>
      <c r="C2" s="20" t="s">
        <v>16</v>
      </c>
      <c r="D2" s="19" t="s">
        <v>17</v>
      </c>
      <c r="E2" s="19" t="s">
        <v>18</v>
      </c>
      <c r="F2" s="19" t="s">
        <v>50</v>
      </c>
      <c r="G2" s="19" t="s">
        <v>20</v>
      </c>
      <c r="H2" s="19" t="s">
        <v>21</v>
      </c>
      <c r="I2" s="19" t="s">
        <v>51</v>
      </c>
      <c r="J2" s="19" t="s">
        <v>22</v>
      </c>
      <c r="K2" s="19" t="s">
        <v>52</v>
      </c>
      <c r="L2" s="23" t="s">
        <v>53</v>
      </c>
      <c r="M2" s="19" t="s">
        <v>54</v>
      </c>
      <c r="N2" s="19" t="s">
        <v>55</v>
      </c>
      <c r="O2" s="19" t="s">
        <v>56</v>
      </c>
    </row>
    <row r="3" spans="1:15">
      <c r="A3" t="s">
        <v>76</v>
      </c>
      <c r="B3">
        <v>20260129</v>
      </c>
      <c r="C3" s="18">
        <v>3687</v>
      </c>
      <c r="D3" t="s">
        <v>77</v>
      </c>
      <c r="E3" t="s">
        <v>43</v>
      </c>
      <c r="F3" t="s">
        <v>68</v>
      </c>
      <c r="I3" t="s">
        <v>74</v>
      </c>
      <c r="J3" t="s">
        <v>75</v>
      </c>
      <c r="K3">
        <v>100</v>
      </c>
      <c r="L3" s="22">
        <v>1524</v>
      </c>
      <c r="M3">
        <v>152400</v>
      </c>
      <c r="N3" t="s">
        <v>57</v>
      </c>
    </row>
    <row r="4" spans="1:15">
      <c r="A4" s="16" t="s">
        <v>72</v>
      </c>
      <c r="B4" s="16">
        <v>20260129</v>
      </c>
      <c r="C4" s="21">
        <v>9434</v>
      </c>
      <c r="D4" s="16" t="s">
        <v>73</v>
      </c>
      <c r="E4" s="16" t="s">
        <v>43</v>
      </c>
      <c r="F4" s="16" t="s">
        <v>68</v>
      </c>
      <c r="G4" s="16"/>
      <c r="H4" s="16"/>
      <c r="I4" s="16" t="s">
        <v>74</v>
      </c>
      <c r="J4" s="16" t="s">
        <v>75</v>
      </c>
      <c r="K4" s="16">
        <v>100</v>
      </c>
      <c r="L4" s="24">
        <v>212</v>
      </c>
      <c r="M4" s="16">
        <v>21200</v>
      </c>
      <c r="N4" s="16" t="s">
        <v>57</v>
      </c>
      <c r="O4" s="16"/>
    </row>
    <row r="5" spans="1:15">
      <c r="A5" s="16" t="s">
        <v>58</v>
      </c>
      <c r="B5" s="16">
        <v>20260129</v>
      </c>
      <c r="C5" s="21">
        <v>9432</v>
      </c>
      <c r="D5" s="16" t="s">
        <v>42</v>
      </c>
      <c r="E5" s="16" t="s">
        <v>43</v>
      </c>
      <c r="F5" s="16" t="s">
        <v>44</v>
      </c>
      <c r="G5" s="16" t="s">
        <v>45</v>
      </c>
      <c r="H5" s="16" t="s">
        <v>46</v>
      </c>
      <c r="I5" s="16" t="s">
        <v>59</v>
      </c>
      <c r="J5" s="16" t="s">
        <v>47</v>
      </c>
      <c r="K5" s="16">
        <v>100</v>
      </c>
      <c r="L5" s="24">
        <v>156.4</v>
      </c>
      <c r="M5" s="16">
        <v>15640</v>
      </c>
      <c r="N5" s="16" t="s">
        <v>57</v>
      </c>
      <c r="O5" s="16">
        <v>0</v>
      </c>
    </row>
    <row r="6" spans="1:15">
      <c r="A6" t="s">
        <v>60</v>
      </c>
      <c r="B6">
        <v>20260129</v>
      </c>
      <c r="C6" s="18">
        <v>9432</v>
      </c>
      <c r="D6" t="s">
        <v>42</v>
      </c>
      <c r="E6" t="s">
        <v>43</v>
      </c>
      <c r="F6" t="s">
        <v>44</v>
      </c>
      <c r="G6" t="s">
        <v>45</v>
      </c>
      <c r="H6" t="s">
        <v>46</v>
      </c>
      <c r="I6" t="s">
        <v>61</v>
      </c>
      <c r="J6" t="s">
        <v>62</v>
      </c>
      <c r="K6">
        <v>100</v>
      </c>
      <c r="L6" s="22">
        <v>155.9</v>
      </c>
      <c r="M6">
        <v>15590</v>
      </c>
      <c r="N6" t="s">
        <v>63</v>
      </c>
      <c r="O6">
        <v>0</v>
      </c>
    </row>
    <row r="7" spans="1:15">
      <c r="A7" t="s">
        <v>64</v>
      </c>
      <c r="B7">
        <v>20260129</v>
      </c>
      <c r="C7" s="18">
        <v>9432</v>
      </c>
      <c r="D7" t="s">
        <v>42</v>
      </c>
      <c r="E7" t="s">
        <v>43</v>
      </c>
      <c r="F7" t="s">
        <v>44</v>
      </c>
      <c r="G7" t="s">
        <v>45</v>
      </c>
      <c r="H7" t="s">
        <v>46</v>
      </c>
      <c r="I7" t="s">
        <v>59</v>
      </c>
      <c r="J7" t="s">
        <v>47</v>
      </c>
      <c r="K7">
        <v>100</v>
      </c>
      <c r="L7" s="22">
        <v>156</v>
      </c>
      <c r="M7">
        <v>15600</v>
      </c>
      <c r="N7" t="s">
        <v>57</v>
      </c>
      <c r="O7">
        <v>0</v>
      </c>
    </row>
    <row r="8" spans="1:15">
      <c r="A8" t="s">
        <v>65</v>
      </c>
      <c r="B8">
        <v>20260129</v>
      </c>
      <c r="C8" s="18">
        <v>9432</v>
      </c>
      <c r="D8" t="s">
        <v>42</v>
      </c>
      <c r="E8" t="s">
        <v>43</v>
      </c>
      <c r="F8" t="s">
        <v>44</v>
      </c>
      <c r="G8" t="s">
        <v>45</v>
      </c>
      <c r="H8" t="s">
        <v>46</v>
      </c>
      <c r="I8" t="s">
        <v>61</v>
      </c>
      <c r="J8" t="s">
        <v>62</v>
      </c>
      <c r="K8">
        <v>100</v>
      </c>
      <c r="L8" s="22">
        <v>156</v>
      </c>
      <c r="M8">
        <v>15600</v>
      </c>
      <c r="N8" t="s">
        <v>63</v>
      </c>
      <c r="O8">
        <v>0</v>
      </c>
    </row>
    <row r="9" spans="1:15">
      <c r="A9" t="s">
        <v>66</v>
      </c>
      <c r="B9">
        <v>20260129</v>
      </c>
      <c r="C9" s="18">
        <v>9432</v>
      </c>
      <c r="D9" t="s">
        <v>42</v>
      </c>
      <c r="E9" t="s">
        <v>43</v>
      </c>
      <c r="F9" t="s">
        <v>44</v>
      </c>
      <c r="G9" t="s">
        <v>45</v>
      </c>
      <c r="H9" t="s">
        <v>46</v>
      </c>
      <c r="I9" t="s">
        <v>59</v>
      </c>
      <c r="J9" t="s">
        <v>47</v>
      </c>
      <c r="K9">
        <v>100</v>
      </c>
      <c r="L9" s="22">
        <v>156.30000000000001</v>
      </c>
      <c r="M9">
        <v>15630</v>
      </c>
      <c r="N9" t="s">
        <v>57</v>
      </c>
      <c r="O9">
        <v>0</v>
      </c>
    </row>
    <row r="10" spans="1:15">
      <c r="A10" t="s">
        <v>67</v>
      </c>
      <c r="B10">
        <v>20260129</v>
      </c>
      <c r="C10" s="18">
        <v>9432</v>
      </c>
      <c r="D10" t="s">
        <v>42</v>
      </c>
      <c r="E10" t="s">
        <v>43</v>
      </c>
      <c r="F10" t="s">
        <v>68</v>
      </c>
      <c r="G10" t="s">
        <v>45</v>
      </c>
      <c r="H10" t="s">
        <v>46</v>
      </c>
      <c r="I10" t="s">
        <v>61</v>
      </c>
      <c r="J10" t="s">
        <v>62</v>
      </c>
      <c r="K10">
        <v>100</v>
      </c>
      <c r="L10" s="22">
        <v>156.19999999999999</v>
      </c>
      <c r="M10">
        <v>15620</v>
      </c>
      <c r="N10" t="s">
        <v>63</v>
      </c>
      <c r="O10">
        <v>0</v>
      </c>
    </row>
    <row r="11" spans="1:15">
      <c r="A11" t="s">
        <v>69</v>
      </c>
      <c r="B11">
        <v>20260129</v>
      </c>
      <c r="C11" s="18">
        <v>9432</v>
      </c>
      <c r="D11" t="s">
        <v>42</v>
      </c>
      <c r="E11" t="s">
        <v>43</v>
      </c>
      <c r="F11" t="s">
        <v>44</v>
      </c>
      <c r="G11" t="s">
        <v>45</v>
      </c>
      <c r="H11" t="s">
        <v>46</v>
      </c>
      <c r="I11" t="s">
        <v>59</v>
      </c>
      <c r="J11" t="s">
        <v>47</v>
      </c>
      <c r="K11">
        <v>100</v>
      </c>
      <c r="L11" s="22">
        <v>156.30000000000001</v>
      </c>
      <c r="M11">
        <v>15630</v>
      </c>
      <c r="N11" t="s">
        <v>57</v>
      </c>
      <c r="O11">
        <v>0</v>
      </c>
    </row>
    <row r="12" spans="1:15">
      <c r="A12" s="16" t="s">
        <v>70</v>
      </c>
      <c r="B12" s="16">
        <v>20260129</v>
      </c>
      <c r="C12" s="21">
        <v>9432</v>
      </c>
      <c r="D12" s="16" t="s">
        <v>42</v>
      </c>
      <c r="E12" s="16" t="s">
        <v>43</v>
      </c>
      <c r="F12" s="16" t="s">
        <v>68</v>
      </c>
      <c r="G12" s="16" t="s">
        <v>45</v>
      </c>
      <c r="H12" s="16" t="s">
        <v>46</v>
      </c>
      <c r="I12" s="16" t="s">
        <v>61</v>
      </c>
      <c r="J12" s="16" t="s">
        <v>62</v>
      </c>
      <c r="K12" s="16">
        <v>100</v>
      </c>
      <c r="L12" s="24">
        <v>156.19999999999999</v>
      </c>
      <c r="M12" s="16">
        <v>15620</v>
      </c>
      <c r="N12" s="16" t="s">
        <v>63</v>
      </c>
      <c r="O12" s="16">
        <v>0</v>
      </c>
    </row>
    <row r="13" spans="1:15">
      <c r="A13" s="16" t="s">
        <v>78</v>
      </c>
      <c r="B13" s="16" t="s">
        <v>78</v>
      </c>
      <c r="C13" s="21" t="s">
        <v>78</v>
      </c>
      <c r="D13" s="16" t="s">
        <v>78</v>
      </c>
      <c r="E13" s="16" t="s">
        <v>78</v>
      </c>
      <c r="F13" s="16" t="s">
        <v>78</v>
      </c>
      <c r="G13" s="16" t="s">
        <v>78</v>
      </c>
      <c r="H13" s="16" t="s">
        <v>78</v>
      </c>
      <c r="I13" s="16" t="s">
        <v>78</v>
      </c>
      <c r="J13" s="16" t="s">
        <v>78</v>
      </c>
      <c r="K13" s="16" t="s">
        <v>78</v>
      </c>
      <c r="L13" s="24" t="s">
        <v>78</v>
      </c>
      <c r="M13" s="16" t="s">
        <v>78</v>
      </c>
      <c r="N13" s="16" t="s">
        <v>78</v>
      </c>
      <c r="O13" s="16" t="s">
        <v>78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C21" sqref="C21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36</v>
      </c>
      <c r="B1" s="18" t="s">
        <v>38</v>
      </c>
      <c r="C1" t="s">
        <v>37</v>
      </c>
    </row>
    <row r="2" spans="1:3">
      <c r="A2" s="17">
        <v>46049.419351851851</v>
      </c>
      <c r="B2" s="18" t="s">
        <v>39</v>
      </c>
      <c r="C2" t="s">
        <v>40</v>
      </c>
    </row>
    <row r="3" spans="1:3">
      <c r="A3" s="17">
        <v>46049.419606481482</v>
      </c>
      <c r="B3" s="18" t="s">
        <v>39</v>
      </c>
      <c r="C3" t="s">
        <v>41</v>
      </c>
    </row>
    <row r="4" spans="1:3">
      <c r="A4" s="17">
        <v>46049.421932870369</v>
      </c>
      <c r="B4" s="18" t="s">
        <v>39</v>
      </c>
      <c r="C4" t="s">
        <v>40</v>
      </c>
    </row>
    <row r="5" spans="1:3">
      <c r="A5" s="17">
        <v>46049.423993055556</v>
      </c>
      <c r="B5" s="18" t="s">
        <v>39</v>
      </c>
      <c r="C5" t="s">
        <v>41</v>
      </c>
    </row>
    <row r="6" spans="1:3">
      <c r="A6" s="17"/>
    </row>
    <row r="7" spans="1:3">
      <c r="A7" s="17"/>
    </row>
    <row r="8" spans="1:3">
      <c r="A8" s="17"/>
    </row>
    <row r="9" spans="1:3">
      <c r="A9" s="17"/>
    </row>
    <row r="10" spans="1:3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Cover</vt:lpstr>
      <vt:lpstr>Positions</vt:lpstr>
      <vt:lpstr>Executions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2026-01-27T06:45:00Z</dcterms:modified>
</cp:coreProperties>
</file>