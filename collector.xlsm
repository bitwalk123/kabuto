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6C9AB3B7-72F3-426F-B79C-A51BAF5817A7}" xr6:coauthVersionLast="47" xr6:coauthVersionMax="47" xr10:uidLastSave="{00000000-0000-0000-0000-000000000000}"/>
  <bookViews>
    <workbookView xWindow="13065" yWindow="1035" windowWidth="15735" windowHeight="9510" activeTab="2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B8" i="1"/>
  <c r="E5" i="1"/>
  <c r="H3" i="1"/>
  <c r="G7" i="1"/>
  <c r="F5" i="1"/>
  <c r="E3" i="1"/>
  <c r="F7" i="1"/>
  <c r="E2" i="1"/>
  <c r="B3" i="1"/>
  <c r="G4" i="1"/>
  <c r="F4" i="1"/>
  <c r="E8" i="1"/>
  <c r="H7" i="1"/>
  <c r="F6" i="1"/>
  <c r="C4" i="1"/>
  <c r="C6" i="1"/>
  <c r="H2" i="1"/>
  <c r="F8" i="1"/>
  <c r="F2" i="1"/>
  <c r="D8" i="1"/>
  <c r="E4" i="1"/>
  <c r="D7" i="1"/>
  <c r="D6" i="1"/>
  <c r="G5" i="1"/>
  <c r="B5" i="1"/>
  <c r="D5" i="1"/>
  <c r="G8" i="1"/>
  <c r="C8" i="1"/>
  <c r="D4" i="1"/>
  <c r="H8" i="1"/>
  <c r="C5" i="1"/>
  <c r="B2" i="1"/>
  <c r="G3" i="1"/>
  <c r="B7" i="1"/>
  <c r="B4" i="1"/>
  <c r="C3" i="1"/>
  <c r="H5" i="1"/>
  <c r="C2" i="1"/>
  <c r="F3" i="1"/>
  <c r="E6" i="1"/>
  <c r="C7" i="1"/>
  <c r="E7" i="1"/>
  <c r="H4" i="1"/>
  <c r="D2" i="1"/>
  <c r="B6" i="1"/>
  <c r="G6" i="1"/>
  <c r="G2" i="1"/>
  <c r="D3" i="1"/>
  <c r="H6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<sst xmlns="http://schemas.openxmlformats.org/spreadsheetml/2006/main" count="67" uniqueCount="41">
  <si>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</si>
  <si>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</si>
  <si>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</si>
  <si>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</si>
  <si>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</si>
  <si>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</si>
  <si>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</si>
  <si>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</si>
  <si>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</si>
  <si>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</si>
  <si>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</si>
  <si>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</si>
  <si>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</si>
  <si>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</si>
  <si>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</si>
  <si>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</si>
  <si>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</si>
  <si>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</si>
  <si>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</si>
  <si>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</si>
  <si>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</si>
  <si>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</si>
  <si>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</si>
  <si>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</si>
  <si>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</si>
  <si>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</si>
  <si>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</si>
  <si>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</si>
  <si>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</si>
  <si>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</si>
  <si>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</si>
  <si>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</si>
  <si>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</si>
  <si>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</si>
  <si>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</si>
  <si>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</si>
  <si>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</si>
  <si>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</si>
  <si>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</si>
  <si>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</si>
  <si>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DoBuy result=発注ロック中(発注を行うには発注機能を有効にしてください)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</si>
</sst>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7fba1e2830a498a8a7fa2a8541c6cde">
      <tp t="s">
        <v/>
        <stp/>
        <stp>MarginPositionList</stp>
        <stp>3048413927216,0,0,0,0</stp>
        <stp/>
        <stp>A</stp>
        <stp>0</stp>
        <stp>0</stp>
        <stp>0</stp>
        <tr r="A1" s="2"/>
      </tp>
      <tp t="s">
        <v>2026/01/23</v>
        <stp/>
        <stp>Market</stp>
        <stp>STOCK</stp>
        <stp>67580.T</stp>
        <stp>現在日付</stp>
        <tr r="C3" s="1"/>
      </tp>
      <tp t="s">
        <v>2026/01/23</v>
        <stp/>
        <stp>Market</stp>
        <stp>STOCK</stp>
        <stp>94320.T</stp>
        <stp>現在日付</stp>
        <tr r="C7" s="1"/>
      </tp>
      <tp>
        <v>-575</v>
        <stp/>
        <stp>Market</stp>
        <stp>STOCK</stp>
        <stp>285A0.T</stp>
        <stp>前日比</stp>
        <tr r="G2" s="1"/>
      </tp>
      <tp t="s">
        <v>2026/01/23</v>
        <stp/>
        <stp>Market</stp>
        <stp>STOCK</stp>
        <stp>72030.T</stp>
        <stp>現在日付</stp>
        <tr r="C5" s="1"/>
      </tp>
      <tp t="s">
        <v>2026/01/23</v>
        <stp/>
        <stp>Market</stp>
        <stp>STOCK</stp>
        <stp>83060.T</stp>
        <stp>現在日付</stp>
        <tr r="C6" s="1"/>
      </tp>
      <tp t="s">
        <v>2026/01/23</v>
        <stp/>
        <stp>Market</stp>
        <stp>STOCK</stp>
        <stp>70110.T</stp>
        <stp>現在日付</stp>
        <tr r="C4" s="1"/>
      </tp>
    </main>
    <main first="rtdsrv.27fba1e2830a498a8a7fa2a8541c6cde">
      <tp>
        <v>-17</v>
        <stp/>
        <stp>Market</stp>
        <stp>STOCK</stp>
        <stp>67580.T</stp>
        <stp>前日比</stp>
        <tr r="G3" s="1"/>
      </tp>
    </main>
    <main first="rtdsrv.27fba1e2830a498a8a7fa2a8541c6cde">
      <tp>
        <v>-96</v>
        <stp/>
        <stp>Market</stp>
        <stp>STOCK</stp>
        <stp>70110.T</stp>
        <stp>前日比</stp>
        <tr r="G4" s="1"/>
      </tp>
      <tp>
        <v>40</v>
        <stp/>
        <stp>Market</stp>
        <stp>STOCK</stp>
        <stp>72030.T</stp>
        <stp>前日比</stp>
        <tr r="G5" s="1"/>
      </tp>
    </main>
    <main first="rtdsrv.27fba1e2830a498a8a7fa2a8541c6cde">
      <tp>
        <v>18</v>
        <stp/>
        <stp>Market</stp>
        <stp>STOCK</stp>
        <stp>83060.T</stp>
        <stp>前日比</stp>
        <tr r="G6" s="1"/>
      </tp>
      <tp>
        <v>1.3</v>
        <stp/>
        <stp>Market</stp>
        <stp>STOCK</stp>
        <stp>94320.T</stp>
        <stp>前日比</stp>
        <tr r="G7" s="1"/>
      </tp>
      <tp>
        <v>-51</v>
        <stp/>
        <stp>Market</stp>
        <stp>STOCK</stp>
        <stp>99840.T</stp>
        <stp>前日比</stp>
        <tr r="G8" s="1"/>
      </tp>
    </main>
    <main first="rtdsrv.27fba1e2830a498a8a7fa2a8541c6cde">
      <tp t="s">
        <v>2026/01/23</v>
        <stp/>
        <stp>Market</stp>
        <stp>STOCK</stp>
        <stp>285A0.T</stp>
        <stp>現在日付</stp>
        <tr r="C2" s="1"/>
      </tp>
    </main>
    <main first="rtdsrv.27fba1e2830a498a8a7fa2a8541c6cde">
      <tp t="s">
        <v>2026/01/23</v>
        <stp/>
        <stp>Market</stp>
        <stp>STOCK</stp>
        <stp>99840.T</stp>
        <stp>現在日付</stp>
        <tr r="C8" s="1"/>
      </tp>
    </main>
    <main first="rtdsrv.27fba1e2830a498a8a7fa2a8541c6cde">
      <tp>
        <v>21912800</v>
        <stp/>
        <stp>Market</stp>
        <stp>STOCK</stp>
        <stp>70110.T</stp>
        <stp>出来高</stp>
        <tr r="H4" s="1"/>
      </tp>
      <tp>
        <v>21187900</v>
        <stp/>
        <stp>Market</stp>
        <stp>STOCK</stp>
        <stp>72030.T</stp>
        <stp>出来高</stp>
        <tr r="H5" s="1"/>
      </tp>
      <tp>
        <v>25770900</v>
        <stp/>
        <stp>Market</stp>
        <stp>STOCK</stp>
        <stp>67580.T</stp>
        <stp>出来高</stp>
        <tr r="H3" s="1"/>
      </tp>
      <tp>
        <v>28588800</v>
        <stp/>
        <stp>Market</stp>
        <stp>STOCK</stp>
        <stp>285A0.T</stp>
        <stp>出来高</stp>
        <tr r="H2" s="1"/>
      </tp>
      <tp>
        <v>196541500</v>
        <stp/>
        <stp>Market</stp>
        <stp>STOCK</stp>
        <stp>94320.T</stp>
        <stp>出来高</stp>
        <tr r="H7" s="1"/>
      </tp>
      <tp>
        <v>68150900</v>
        <stp/>
        <stp>Market</stp>
        <stp>STOCK</stp>
        <stp>99840.T</stp>
        <stp>出来高</stp>
        <tr r="H8" s="1"/>
      </tp>
      <tp>
        <v>37452100</v>
        <stp/>
        <stp>Market</stp>
        <stp>STOCK</stp>
        <stp>83060.T</stp>
        <stp>出来高</stp>
        <tr r="H6" s="1"/>
      </tp>
      <tp>
        <v>17335</v>
        <stp/>
        <stp>Market</stp>
        <stp>STOCK</stp>
        <stp>285A0.T</stp>
        <stp>現在値</stp>
        <tr r="E2" s="1"/>
      </tp>
    </main>
    <main first="rtdsrv.27fba1e2830a498a8a7fa2a8541c6cde">
      <tp>
        <v>3624</v>
        <stp/>
        <stp>Market</stp>
        <stp>STOCK</stp>
        <stp>72030.T</stp>
        <stp>現在値</stp>
        <tr r="E5" s="1"/>
      </tp>
      <tp>
        <v>4601</v>
        <stp/>
        <stp>Market</stp>
        <stp>STOCK</stp>
        <stp>70110.T</stp>
        <stp>現在値</stp>
        <tr r="E4" s="1"/>
      </tp>
      <tp>
        <v>3614</v>
        <stp/>
        <stp>Market</stp>
        <stp>STOCK</stp>
        <stp>67580.T</stp>
        <stp>現在値</stp>
        <tr r="E3" s="1"/>
      </tp>
      <tp>
        <v>157.5</v>
        <stp/>
        <stp>Market</stp>
        <stp>STOCK</stp>
        <stp>94320.T</stp>
        <stp>現在値</stp>
        <tr r="E7" s="1"/>
      </tp>
      <tp>
        <v>4274</v>
        <stp/>
        <stp>Market</stp>
        <stp>STOCK</stp>
        <stp>99840.T</stp>
        <stp>現在値</stp>
        <tr r="E8" s="1"/>
      </tp>
      <tp>
        <v>2835.5</v>
        <stp/>
        <stp>Market</stp>
        <stp>STOCK</stp>
        <stp>83060.T</stp>
        <stp>現在値</stp>
        <tr r="E6" s="1"/>
      </tp>
    </main>
    <main first="rtdsrv.27fba1e2830a498a8a7fa2a8541c6cde">
      <tp>
        <v>2817.5</v>
        <stp/>
        <stp>Market</stp>
        <stp>STOCK</stp>
        <stp>83060.T</stp>
        <stp>前日終値</stp>
        <tr r="F6" s="1"/>
      </tp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</main>
    <main first="rtdsrv.27fba1e2830a498a8a7fa2a8541c6cde">
      <tp>
        <v>3584</v>
        <stp/>
        <stp>Market</stp>
        <stp>STOCK</stp>
        <stp>72030.T</stp>
        <stp>前日終値</stp>
        <tr r="F5" s="1"/>
      </tp>
      <tp t="s">
        <v>15:30:00</v>
        <stp/>
        <stp>Market</stp>
        <stp>STOCK</stp>
        <stp>67580.T</stp>
        <stp>現在値詳細時刻</stp>
        <tr r="D3" s="1"/>
      </tp>
    </main>
    <main first="rtdsrv.27fba1e2830a498a8a7fa2a8541c6cde">
      <tp t="s">
        <v>ソフトバンクグループ</v>
        <stp/>
        <stp>Market</stp>
        <stp>STOCK</stp>
        <stp>99840.T</stp>
        <stp>銘柄名称</stp>
        <tr r="B8" s="1"/>
      </tp>
    </main>
    <main first="rtdsrv.27fba1e2830a498a8a7fa2a8541c6cde">
      <tp>
        <v>4697</v>
        <stp/>
        <stp>Market</stp>
        <stp>STOCK</stp>
        <stp>70110.T</stp>
        <stp>前日終値</stp>
        <tr r="F4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3631</v>
        <stp/>
        <stp>Market</stp>
        <stp>STOCK</stp>
        <stp>67580.T</stp>
        <stp>前日終値</stp>
        <tr r="F3" s="1"/>
      </tp>
      <tp t="s">
        <v>15:30:00</v>
        <stp/>
        <stp>Market</stp>
        <stp>STOCK</stp>
        <stp>285A0.T</stp>
        <stp>現在値詳細時刻</stp>
        <tr r="D2" s="1"/>
      </tp>
    </main>
    <main first="rtdsrv.27fba1e2830a498a8a7fa2a8541c6cde">
      <tp>
        <v>156.19999999999999</v>
        <stp/>
        <stp>Market</stp>
        <stp>STOCK</stp>
        <stp>94320.T</stp>
        <stp>前日終値</stp>
        <tr r="F7" s="1"/>
      </tp>
    </main>
    <main first="rtdsrv.27fba1e2830a498a8a7fa2a8541c6cde">
      <tp t="s">
        <v>三菱ＵＦＪフィナンシャルＧ</v>
        <stp/>
        <stp>Market</stp>
        <stp>STOCK</stp>
        <stp>83060.T</stp>
        <stp>銘柄名称</stp>
        <tr r="B6" s="1"/>
      </tp>
    </main>
    <main first="rtdsrv.27fba1e2830a498a8a7fa2a8541c6cde">
      <tp t="s">
        <v>トヨタ自動車</v>
        <stp/>
        <stp>Market</stp>
        <stp>STOCK</stp>
        <stp>72030.T</stp>
        <stp>銘柄名称</stp>
        <tr r="B5" s="1"/>
      </tp>
      <tp>
        <v>4325</v>
        <stp/>
        <stp>Market</stp>
        <stp>STOCK</stp>
        <stp>99840.T</stp>
        <stp>前日終値</stp>
        <tr r="F8" s="1"/>
      </tp>
    </main>
    <main first="rtdsrv.27fba1e2830a498a8a7fa2a8541c6cde">
      <tp>
        <v>17910</v>
        <stp/>
        <stp>Market</stp>
        <stp>STOCK</stp>
        <stp>285A0.T</stp>
        <stp>前日終値</stp>
        <tr r="F2" s="1"/>
      </tp>
    </main>
    <main first="rtdsrv.27fba1e2830a498a8a7fa2a8541c6cde">
      <tp t="s">
        <v>三菱重工業</v>
        <stp/>
        <stp>Market</stp>
        <stp>STOCK</stp>
        <stp>70110.T</stp>
        <stp>銘柄名称</stp>
        <tr r="B4" s="1"/>
      </tp>
    </main>
    <main first="rtdsrv.27fba1e2830a498a8a7fa2a8541c6cde">
      <tp t="s">
        <v>ソニーグループ</v>
        <stp/>
        <stp>Market</stp>
        <stp>STOCK</stp>
        <stp>67580.T</stp>
        <stp>銘柄名称</stp>
        <tr r="B3" s="1"/>
      </tp>
    </main>
    <main first="rtdsrv.27fba1e2830a498a8a7fa2a8541c6cde"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83060.T</stp>
        <stp>現在値詳細時刻</stp>
        <tr r="D6" s="1"/>
      </tp>
      <tp t="s">
        <v>ＮＴＴ</v>
        <stp/>
        <stp>Market</stp>
        <stp>STOCK</stp>
        <stp>94320.T</stp>
        <stp>銘柄名称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9" sqref="B9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2026/01/23</v>
      </c>
      <c r="D2" s="7" t="str">
        <f>_xll.RssMarket($A2, D$1)</f>
        <v>15:30:00</v>
      </c>
      <c r="E2" s="8">
        <f>_xll.RssMarket($A2, E$1)</f>
        <v>17335</v>
      </c>
      <c r="F2" s="8">
        <f>_xll.RssMarket($A2, F$1)</f>
        <v>17910</v>
      </c>
      <c r="G2" s="8">
        <f>_xll.RssMarket($A2, G$1)</f>
        <v>-575</v>
      </c>
      <c r="H2" s="8">
        <f>_xll.RssMarket($A2, H$1)</f>
        <v>28588800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2026/01/23</v>
      </c>
      <c r="D3" s="7" t="str">
        <f>_xll.RssMarket($A3, D$1)</f>
        <v>15:30:00</v>
      </c>
      <c r="E3" s="8">
        <f>_xll.RssMarket($A3, E$1)</f>
        <v>3614</v>
      </c>
      <c r="F3" s="8">
        <f>_xll.RssMarket($A3, F$1)</f>
        <v>3631</v>
      </c>
      <c r="G3" s="8">
        <f>_xll.RssMarket($A3, G$1)</f>
        <v>-17</v>
      </c>
      <c r="H3" s="8">
        <f>_xll.RssMarket($A3, H$1)</f>
        <v>25770900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2026/01/23</v>
      </c>
      <c r="D4" s="7" t="str">
        <f>_xll.RssMarket($A4, D$1)</f>
        <v>15:30:00</v>
      </c>
      <c r="E4" s="8">
        <f>_xll.RssMarket($A4, E$1)</f>
        <v>4601</v>
      </c>
      <c r="F4" s="8">
        <f>_xll.RssMarket($A4, F$1)</f>
        <v>4697</v>
      </c>
      <c r="G4" s="8">
        <f>_xll.RssMarket($A4, G$1)</f>
        <v>-96</v>
      </c>
      <c r="H4" s="8">
        <f>_xll.RssMarket($A4, H$1)</f>
        <v>21912800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2026/01/23</v>
      </c>
      <c r="D5" s="7" t="str">
        <f>_xll.RssMarket($A5, D$1)</f>
        <v>15:30:00</v>
      </c>
      <c r="E5" s="8">
        <f>_xll.RssMarket($A5, E$1)</f>
        <v>3624</v>
      </c>
      <c r="F5" s="8">
        <f>_xll.RssMarket($A5, F$1)</f>
        <v>3584</v>
      </c>
      <c r="G5" s="8">
        <f>_xll.RssMarket($A5, G$1)</f>
        <v>40</v>
      </c>
      <c r="H5" s="8">
        <f>_xll.RssMarket($A5, H$1)</f>
        <v>21187900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2026/01/23</v>
      </c>
      <c r="D6" s="7" t="str">
        <f>_xll.RssMarket($A6, D$1)</f>
        <v>15:30:00</v>
      </c>
      <c r="E6" s="8">
        <f>_xll.RssMarket($A6, E$1)</f>
        <v>2835.5</v>
      </c>
      <c r="F6" s="8">
        <f>_xll.RssMarket($A6, F$1)</f>
        <v>2817.5</v>
      </c>
      <c r="G6" s="8">
        <f>_xll.RssMarket($A6, G$1)</f>
        <v>18</v>
      </c>
      <c r="H6" s="8">
        <f>_xll.RssMarket($A6, H$1)</f>
        <v>37452100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2026/01/23</v>
      </c>
      <c r="D7" s="7" t="str">
        <f>_xll.RssMarket($A7, D$1)</f>
        <v>15:30:00</v>
      </c>
      <c r="E7" s="8">
        <f>_xll.RssMarket($A7, E$1)</f>
        <v>157.5</v>
      </c>
      <c r="F7" s="8">
        <f>_xll.RssMarket($A7, F$1)</f>
        <v>156.19999999999999</v>
      </c>
      <c r="G7" s="8">
        <f>_xll.RssMarket($A7, G$1)</f>
        <v>1.3</v>
      </c>
      <c r="H7" s="8">
        <f>_xll.RssMarket($A7, H$1)</f>
        <v>196541500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2026/01/23</v>
      </c>
      <c r="D8" s="7" t="str">
        <f>_xll.RssMarket($A8, D$1)</f>
        <v>15:30:00</v>
      </c>
      <c r="E8" s="8">
        <f>_xll.RssMarket($A8, E$1)</f>
        <v>4274</v>
      </c>
      <c r="F8" s="8">
        <f>_xll.RssMarket($A8, F$1)</f>
        <v>4325</v>
      </c>
      <c r="G8" s="8">
        <f>_xll.RssMarket($A8, G$1)</f>
        <v>-51</v>
      </c>
      <c r="H8" s="8">
        <f>_xll.RssMarket($A8, H$1)</f>
        <v>68150900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8"/>
  <sheetViews>
    <sheetView tabSelected="1" workbookViewId="0">
      <selection activeCell="C10" sqref="C10"/>
    </sheetView>
  </sheetViews>
  <sheetFormatPr defaultRowHeight="18.75" x14ac:dyDescent="0.4"/>
  <cols>
    <col min="1" max="1" width="14.75" bestFit="1" customWidth="1"/>
    <col min="2" max="2" width="11" style="18" bestFit="1" customWidth="1"/>
    <col min="3" max="3" width="71.875" bestFit="1" customWidth="1"/>
  </cols>
  <sheetData>
    <row r="1" spans="1:3" x14ac:dyDescent="0.4">
      <c r="A1" t="s">
        <v>37</v>
      </c>
      <c r="B1" s="18" t="s">
        <v>39</v>
      </c>
      <c r="C1" t="s">
        <v>38</v>
      </c>
    </row>
    <row r="2" spans="1:3" x14ac:dyDescent="0.4">
      <c r="A2" s="17">
        <v>46047.573252314818</v>
      </c>
      <c r="B2" s="18">
        <v>9432</v>
      </c>
      <c r="C2" t="s">
        <v>40</v>
      </c>
    </row>
    <row r="3" spans="1:3" x14ac:dyDescent="0.4">
      <c r="A3" s="17"/>
    </row>
    <row r="4" spans="1:3" x14ac:dyDescent="0.4">
      <c r="A4" s="17"/>
    </row>
    <row r="5" spans="1:3" x14ac:dyDescent="0.4">
      <c r="A5" s="17"/>
    </row>
    <row r="6" spans="1:3" x14ac:dyDescent="0.4">
      <c r="A6" s="17"/>
    </row>
    <row r="7" spans="1:3" x14ac:dyDescent="0.4">
      <c r="A7" s="17"/>
    </row>
    <row r="8" spans="1:3" x14ac:dyDescent="0.4">
      <c r="A8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2026-01-25T04:46:15Z</dcterms:modified>
</cp:coreProperties>
</file>