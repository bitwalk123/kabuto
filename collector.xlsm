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462A6DAE-1CE2-4B6C-86F3-E0D5B2BE2C4F}" xr6:coauthVersionLast="47" xr6:coauthVersionMax="47" xr10:uidLastSave="{00000000-0000-0000-0000-000000000000}"/>
  <bookViews>
    <workbookView xWindow="-105" yWindow="0" windowWidth="28905" windowHeight="9225" activeTab="1" xr2:uid="{51093279-733D-4C95-9185-E5E4611C1814}"/>
  </bookViews>
  <sheets>
    <sheet name="Cover" sheetId="1" r:id="rId1"/>
    <sheet name="Positions" sheetId="2" r:id="rId2"/>
    <sheet name="Lo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C6" i="1"/>
  <c r="B2" i="1"/>
  <c r="D3" i="1"/>
  <c r="D5" i="1"/>
  <c r="F4" i="1"/>
  <c r="H4" i="1"/>
  <c r="H7" i="1"/>
  <c r="D4" i="1"/>
  <c r="B6" i="1"/>
  <c r="D7" i="1"/>
  <c r="F7" i="1"/>
  <c r="F3" i="1"/>
  <c r="G2" i="1"/>
  <c r="C2" i="1"/>
  <c r="G7" i="1"/>
  <c r="D8" i="1"/>
  <c r="C3" i="1"/>
  <c r="E5" i="1"/>
  <c r="B7" i="1"/>
  <c r="F2" i="1"/>
  <c r="B8" i="1"/>
  <c r="H2" i="1"/>
  <c r="G3" i="1"/>
  <c r="H6" i="1"/>
  <c r="H8" i="1"/>
  <c r="C4" i="1"/>
  <c r="H5" i="1"/>
  <c r="E2" i="1"/>
  <c r="G5" i="1"/>
  <c r="E6" i="1"/>
  <c r="G4" i="1"/>
  <c r="E7" i="1"/>
  <c r="G8" i="1"/>
  <c r="F5" i="1"/>
  <c r="E4" i="1"/>
  <c r="D6" i="1"/>
  <c r="E8" i="1"/>
  <c r="C8" i="1"/>
  <c r="D2" i="1"/>
  <c r="F8" i="1"/>
  <c r="H3" i="1"/>
  <c r="B4" i="1"/>
  <c r="B3" i="1"/>
  <c r="B5" i="1"/>
  <c r="C7" i="1"/>
  <c r="F6" i="1"/>
  <c r="G6" i="1"/>
  <c r="C5" i="1"/>
  <c r="E3" i="1"/>
  <c r="A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<sst xmlns="http://schemas.openxmlformats.org/spreadsheetml/2006/main" count="84" uniqueCount="45">
  <si>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</si>
  <si>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</si>
  <si>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</si>
  <si>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</si>
  <si>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</si>
  <si>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</si>
  <si>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</si>
  <si>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</si>
  <si>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</si>
  <si>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</si>
  <si>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</si>
  <si>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</si>
  <si>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</si>
  <si>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</si>
  <si>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9984</t>
    <phoneticPr fontId="1"/>
  </si>
  <si>
    <t>285A</t>
    <phoneticPr fontId="1"/>
  </si>
  <si>
    <t>銘柄コード</t>
  </si>
  <si>
    <t>銘柄名称</t>
  </si>
  <si>
    <t>口座区分</t>
  </si>
  <si>
    <t>建市場</t>
  </si>
  <si>
    <t>信用区分</t>
  </si>
  <si>
    <t>弁済期限</t>
  </si>
  <si>
    <t>売買</t>
  </si>
  <si>
    <t>建玉数量</t>
  </si>
  <si>
    <t>発注数量</t>
  </si>
  <si>
    <t>建値</t>
  </si>
  <si>
    <t>建日</t>
  </si>
  <si>
    <t>最終返済日</t>
  </si>
  <si>
    <t>時価</t>
  </si>
  <si>
    <t>前日比</t>
  </si>
  <si>
    <t>前日比率</t>
  </si>
  <si>
    <t>時価評価額</t>
  </si>
  <si>
    <t>評価損益額</t>
  </si>
  <si>
    <t>評価損益率</t>
  </si>
  <si>
    <t>保証金率</t>
  </si>
  <si>
    <t>現金保証金率</t>
  </si>
  <si>
    <t>時刻</t>
    <rPh sb="0" eb="2">
      <t>ジコク</t>
    </rPh>
    <phoneticPr fontId="1"/>
  </si>
  <si>
    <t>内容</t>
    <rPh sb="0" eb="2">
      <t>ナイヨウ</t>
    </rPh>
    <phoneticPr fontId="1"/>
  </si>
  <si>
    <t>銘柄コード</t>
    <rPh sb="0" eb="2">
      <t>メイガラ</t>
    </rPh>
    <phoneticPr fontId="1"/>
  </si>
  <si>
    <t>DoBuy result=発注ロック中(発注を行うには発注機能を有効にしてください)</t>
  </si>
  <si>
    <t>--------</t>
  </si>
  <si>
    <t>9432</t>
  </si>
  <si>
    <t>DoSell result=発注ロック中(発注を行うには発注機能を有効にしてください)</t>
  </si>
  <si>
    <t>DoBuy result=</t>
  </si>
  <si>
    <t>DoSell result=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</si>
</sst>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4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e0c61c52c54949d08cced7672085f149">
      <tp t="s">
        <v/>
        <stp/>
        <stp>MarginPositionList</stp>
        <stp>2800323531536,0,0,0,0</stp>
        <stp/>
        <stp>A</stp>
        <stp>0</stp>
        <stp>0</stp>
        <stp>0</stp>
        <tr r="A1" s="2"/>
      </tp>
    </main>
    <main first="rtdsrv.e0c61c52c54949d08cced7672085f149">
      <tp t="s">
        <v>2026/01/26</v>
        <stp/>
        <stp>Market</stp>
        <stp>STOCK</stp>
        <stp>285A0.T</stp>
        <stp>現在日付</stp>
        <tr r="C2" s="1"/>
      </tp>
    </main>
    <main first="rtdsrv.e0c61c52c54949d08cced7672085f149">
      <tp t="s">
        <v>2026/01/26</v>
        <stp/>
        <stp>Market</stp>
        <stp>STOCK</stp>
        <stp>99840.T</stp>
        <stp>現在日付</stp>
        <tr r="C8" s="1"/>
      </tp>
    </main>
    <main first="rtdsrv.e0c61c52c54949d08cced7672085f149">
      <tp t="s">
        <v>2026/01/26</v>
        <stp/>
        <stp>Market</stp>
        <stp>STOCK</stp>
        <stp>70110.T</stp>
        <stp>現在日付</stp>
        <tr r="C4" s="1"/>
      </tp>
      <tp t="s">
        <v>2026/01/26</v>
        <stp/>
        <stp>Market</stp>
        <stp>STOCK</stp>
        <stp>72030.T</stp>
        <stp>現在日付</stp>
        <tr r="C5" s="1"/>
      </tp>
    </main>
    <main first="rtdsrv.e0c61c52c54949d08cced7672085f149">
      <tp t="s">
        <v>2026/01/26</v>
        <stp/>
        <stp>Market</stp>
        <stp>STOCK</stp>
        <stp>83060.T</stp>
        <stp>現在日付</stp>
        <tr r="C6" s="1"/>
      </tp>
    </main>
    <main first="rtdsrv.e0c61c52c54949d08cced7672085f149">
      <tp t="s">
        <v>2026/01/26</v>
        <stp/>
        <stp>Market</stp>
        <stp>STOCK</stp>
        <stp>94320.T</stp>
        <stp>現在日付</stp>
        <tr r="C7" s="1"/>
      </tp>
    </main>
    <main first="rtdsrv.e0c61c52c54949d08cced7672085f149">
      <tp t="s">
        <v>2026/01/26</v>
        <stp/>
        <stp>Market</stp>
        <stp>STOCK</stp>
        <stp>67580.T</stp>
        <stp>現在日付</stp>
        <tr r="C3" s="1"/>
      </tp>
      <tp>
        <v>-166</v>
        <stp/>
        <stp>Market</stp>
        <stp>STOCK</stp>
        <stp>99840.T</stp>
        <stp>前日比</stp>
        <tr r="G8" s="1"/>
      </tp>
      <tp>
        <v>-1.2</v>
        <stp/>
        <stp>Market</stp>
        <stp>STOCK</stp>
        <stp>94320.T</stp>
        <stp>前日比</stp>
        <tr r="G7" s="1"/>
      </tp>
      <tp>
        <v>-77</v>
        <stp/>
        <stp>Market</stp>
        <stp>STOCK</stp>
        <stp>83060.T</stp>
        <stp>前日比</stp>
        <tr r="G6" s="1"/>
      </tp>
      <tp>
        <v>125</v>
        <stp/>
        <stp>Market</stp>
        <stp>STOCK</stp>
        <stp>285A0.T</stp>
        <stp>前日比</stp>
        <tr r="G2" s="1"/>
      </tp>
      <tp>
        <v>-117</v>
        <stp/>
        <stp>Market</stp>
        <stp>STOCK</stp>
        <stp>72030.T</stp>
        <stp>前日比</stp>
        <tr r="G5" s="1"/>
      </tp>
      <tp>
        <v>-18</v>
        <stp/>
        <stp>Market</stp>
        <stp>STOCK</stp>
        <stp>70110.T</stp>
        <stp>前日比</stp>
        <tr r="G4" s="1"/>
      </tp>
      <tp>
        <v>-85</v>
        <stp/>
        <stp>Market</stp>
        <stp>STOCK</stp>
        <stp>67580.T</stp>
        <stp>前日比</stp>
        <tr r="G3" s="1"/>
      </tp>
    </main>
    <main first="rtdsrv.e0c61c52c54949d08cced7672085f149">
      <tp t="s">
        <v>09:45:23</v>
        <stp/>
        <stp>Market</stp>
        <stp>STOCK</stp>
        <stp>83060.T</stp>
        <stp>現在値詳細時刻</stp>
        <tr r="D6" s="1"/>
      </tp>
    </main>
    <main first="rtdsrv.e0c61c52c54949d08cced7672085f149">
      <tp t="s">
        <v>09:45:24</v>
        <stp/>
        <stp>Market</stp>
        <stp>STOCK</stp>
        <stp>99840.T</stp>
        <stp>現在値詳細時刻</stp>
        <tr r="D8" s="1"/>
      </tp>
      <tp t="s">
        <v>09:45:23</v>
        <stp/>
        <stp>Market</stp>
        <stp>STOCK</stp>
        <stp>94320.T</stp>
        <stp>現在値詳細時刻</stp>
        <tr r="D7" s="1"/>
      </tp>
    </main>
    <main first="rtdsrv.e0c61c52c54949d08cced7672085f149">
      <tp t="s">
        <v>09:45:24</v>
        <stp/>
        <stp>Market</stp>
        <stp>STOCK</stp>
        <stp>67580.T</stp>
        <stp>現在値詳細時刻</stp>
        <tr r="D3" s="1"/>
      </tp>
    </main>
    <main first="rtdsrv.e0c61c52c54949d08cced7672085f149">
      <tp t="s">
        <v>09:45:23</v>
        <stp/>
        <stp>Market</stp>
        <stp>STOCK</stp>
        <stp>70110.T</stp>
        <stp>現在値詳細時刻</stp>
        <tr r="D4" s="1"/>
      </tp>
      <tp t="s">
        <v>09:45:23</v>
        <stp/>
        <stp>Market</stp>
        <stp>STOCK</stp>
        <stp>72030.T</stp>
        <stp>現在値詳細時刻</stp>
        <tr r="D5" s="1"/>
      </tp>
      <tp t="s">
        <v>09:45:24</v>
        <stp/>
        <stp>Market</stp>
        <stp>STOCK</stp>
        <stp>285A0.T</stp>
        <stp>現在値詳細時刻</stp>
        <tr r="D2" s="1"/>
      </tp>
    </main>
    <main first="rtdsrv.e0c61c52c54949d08cced7672085f149">
      <tp>
        <v>18671400</v>
        <stp/>
        <stp>Market</stp>
        <stp>STOCK</stp>
        <stp>83060.T</stp>
        <stp>出来高</stp>
        <tr r="H6" s="1"/>
      </tp>
      <tp>
        <v>13572100</v>
        <stp/>
        <stp>Market</stp>
        <stp>STOCK</stp>
        <stp>99840.T</stp>
        <stp>出来高</stp>
        <tr r="H8" s="1"/>
      </tp>
      <tp>
        <v>55601600</v>
        <stp/>
        <stp>Market</stp>
        <stp>STOCK</stp>
        <stp>94320.T</stp>
        <stp>出来高</stp>
        <tr r="H7" s="1"/>
      </tp>
      <tp>
        <v>5874600</v>
        <stp/>
        <stp>Market</stp>
        <stp>STOCK</stp>
        <stp>67580.T</stp>
        <stp>出来高</stp>
        <tr r="H3" s="1"/>
      </tp>
      <tp>
        <v>8839300</v>
        <stp/>
        <stp>Market</stp>
        <stp>STOCK</stp>
        <stp>72030.T</stp>
        <stp>出来高</stp>
        <tr r="H5" s="1"/>
      </tp>
      <tp>
        <v>8568000</v>
        <stp/>
        <stp>Market</stp>
        <stp>STOCK</stp>
        <stp>70110.T</stp>
        <stp>出来高</stp>
        <tr r="H4" s="1"/>
      </tp>
      <tp>
        <v>9336200</v>
        <stp/>
        <stp>Market</stp>
        <stp>STOCK</stp>
        <stp>285A0.T</stp>
        <stp>出来高</stp>
        <tr r="H2" s="1"/>
      </tp>
    </main>
    <main first="rtdsrv.e0c61c52c54949d08cced7672085f149">
      <tp t="s">
        <v>ＮＴＴ</v>
        <stp/>
        <stp>Market</stp>
        <stp>STOCK</stp>
        <stp>94320.T</stp>
        <stp>銘柄名称</stp>
        <tr r="B7" s="1"/>
      </tp>
    </main>
    <main first="rtdsrv.e0c61c52c54949d08cced7672085f149">
      <tp>
        <v>2758.5</v>
        <stp/>
        <stp>Market</stp>
        <stp>STOCK</stp>
        <stp>83060.T</stp>
        <stp>現在値</stp>
        <tr r="E6" s="1"/>
      </tp>
    </main>
    <main first="rtdsrv.e0c61c52c54949d08cced7672085f149">
      <tp t="s">
        <v>ソニーグループ</v>
        <stp/>
        <stp>Market</stp>
        <stp>STOCK</stp>
        <stp>67580.T</stp>
        <stp>銘柄名称</stp>
        <tr r="B3" s="1"/>
      </tp>
      <tp>
        <v>4108</v>
        <stp/>
        <stp>Market</stp>
        <stp>STOCK</stp>
        <stp>99840.T</stp>
        <stp>現在値</stp>
        <tr r="E8" s="1"/>
      </tp>
      <tp>
        <v>156.30000000000001</v>
        <stp/>
        <stp>Market</stp>
        <stp>STOCK</stp>
        <stp>94320.T</stp>
        <stp>現在値</stp>
        <tr r="E7" s="1"/>
      </tp>
    </main>
    <main first="rtdsrv.e0c61c52c54949d08cced7672085f149">
      <tp>
        <v>4274</v>
        <stp/>
        <stp>Market</stp>
        <stp>STOCK</stp>
        <stp>99840.T</stp>
        <stp>前日終値</stp>
        <tr r="F8" s="1"/>
      </tp>
    </main>
    <main first="rtdsrv.e0c61c52c54949d08cced7672085f149">
      <tp>
        <v>17335</v>
        <stp/>
        <stp>Market</stp>
        <stp>STOCK</stp>
        <stp>285A0.T</stp>
        <stp>前日終値</stp>
        <tr r="F2" s="1"/>
      </tp>
    </main>
    <main first="rtdsrv.e0c61c52c54949d08cced7672085f149">
      <tp t="s">
        <v>三菱重工業</v>
        <stp/>
        <stp>Market</stp>
        <stp>STOCK</stp>
        <stp>70110.T</stp>
        <stp>銘柄名称</stp>
        <tr r="B4" s="1"/>
      </tp>
    </main>
    <main first="rtdsrv.e0c61c52c54949d08cced7672085f149">
      <tp t="s">
        <v>三菱ＵＦＪフィナンシャルＧ</v>
        <stp/>
        <stp>Market</stp>
        <stp>STOCK</stp>
        <stp>83060.T</stp>
        <stp>銘柄名称</stp>
        <tr r="B6" s="1"/>
      </tp>
    </main>
    <main first="rtdsrv.e0c61c52c54949d08cced7672085f149">
      <tp t="s">
        <v>トヨタ自動車</v>
        <stp/>
        <stp>Market</stp>
        <stp>STOCK</stp>
        <stp>72030.T</stp>
        <stp>銘柄名称</stp>
        <tr r="B5" s="1"/>
      </tp>
      <tp>
        <v>17460</v>
        <stp/>
        <stp>Market</stp>
        <stp>STOCK</stp>
        <stp>285A0.T</stp>
        <stp>現在値</stp>
        <tr r="E2" s="1"/>
      </tp>
      <tp>
        <v>157.5</v>
        <stp/>
        <stp>Market</stp>
        <stp>STOCK</stp>
        <stp>94320.T</stp>
        <stp>前日終値</stp>
        <tr r="F7" s="1"/>
      </tp>
    </main>
    <main first="rtdsrv.e0c61c52c54949d08cced7672085f149">
      <tp>
        <v>3614</v>
        <stp/>
        <stp>Market</stp>
        <stp>STOCK</stp>
        <stp>67580.T</stp>
        <stp>前日終値</stp>
        <tr r="F3" s="1"/>
      </tp>
    </main>
    <main first="rtdsrv.e0c61c52c54949d08cced7672085f149">
      <tp>
        <v>3529</v>
        <stp/>
        <stp>Market</stp>
        <stp>STOCK</stp>
        <stp>67580.T</stp>
        <stp>現在値</stp>
        <tr r="E3" s="1"/>
      </tp>
    </main>
    <main first="rtdsrv.e0c61c52c54949d08cced7672085f149">
      <tp t="s">
        <v>ソフトバンクグループ</v>
        <stp/>
        <stp>Market</stp>
        <stp>STOCK</stp>
        <stp>99840.T</stp>
        <stp>銘柄名称</stp>
        <tr r="B8" s="1"/>
      </tp>
    </main>
    <main first="rtdsrv.e0c61c52c54949d08cced7672085f149">
      <tp>
        <v>4601</v>
        <stp/>
        <stp>Market</stp>
        <stp>STOCK</stp>
        <stp>70110.T</stp>
        <stp>前日終値</stp>
        <tr r="F4" s="1"/>
      </tp>
      <tp>
        <v>4583</v>
        <stp/>
        <stp>Market</stp>
        <stp>STOCK</stp>
        <stp>70110.T</stp>
        <stp>現在値</stp>
        <tr r="E4" s="1"/>
      </tp>
      <tp>
        <v>3507</v>
        <stp/>
        <stp>Market</stp>
        <stp>STOCK</stp>
        <stp>72030.T</stp>
        <stp>現在値</stp>
        <tr r="E5" s="1"/>
      </tp>
    </main>
    <main first="rtdsrv.e0c61c52c54949d08cced7672085f149">
      <tp t="s">
        <v>キオクシアホールディングス</v>
        <stp/>
        <stp>Market</stp>
        <stp>STOCK</stp>
        <stp>285A0.T</stp>
        <stp>銘柄名称</stp>
        <tr r="B2" s="1"/>
      </tp>
      <tp>
        <v>2835.5</v>
        <stp/>
        <stp>Market</stp>
        <stp>STOCK</stp>
        <stp>83060.T</stp>
        <stp>前日終値</stp>
        <tr r="F6" s="1"/>
      </tp>
    </main>
    <main first="rtdsrv.e0c61c52c54949d08cced7672085f149">
      <tp>
        <v>3624</v>
        <stp/>
        <stp>Market</stp>
        <stp>STOCK</stp>
        <stp>72030.T</stp>
        <stp>前日終値</stp>
        <tr r="F5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workbookViewId="0">
      <pane ySplit="1" topLeftCell="A2" activePane="bottomLeft" state="frozen"/>
      <selection pane="bottomLeft" activeCell="A10" sqref="A10"/>
    </sheetView>
  </sheetViews>
  <sheetFormatPr defaultRowHeight="15.75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ht="19.5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10</v>
      </c>
      <c r="H1" s="15" t="s">
        <v>11</v>
      </c>
    </row>
    <row r="2" spans="1:8" ht="23.25">
      <c r="A2" s="5" t="s">
        <v>15</v>
      </c>
      <c r="B2" s="6" t="str">
        <f>_xll.RssMarket($A2, B$1)</f>
        <v>キオクシアホールディングス</v>
      </c>
      <c r="C2" s="7" t="str">
        <f>_xll.RssMarket($A2, C$1)</f>
        <v>2026/01/26</v>
      </c>
      <c r="D2" s="7" t="str">
        <f>_xll.RssMarket($A2, D$1)</f>
        <v>09:45:24</v>
      </c>
      <c r="E2" s="8">
        <f>_xll.RssMarket($A2, E$1)</f>
        <v>17460</v>
      </c>
      <c r="F2" s="8">
        <f>_xll.RssMarket($A2, F$1)</f>
        <v>17335</v>
      </c>
      <c r="G2" s="8">
        <f>_xll.RssMarket($A2, G$1)</f>
        <v>125</v>
      </c>
      <c r="H2" s="8">
        <f>_xll.RssMarket($A2, H$1)</f>
        <v>9336200</v>
      </c>
    </row>
    <row r="3" spans="1:8" ht="23.25">
      <c r="A3" s="5" t="s">
        <v>12</v>
      </c>
      <c r="B3" s="6" t="str">
        <f>_xll.RssMarket($A3, B$1)</f>
        <v>ソニーグループ</v>
      </c>
      <c r="C3" s="7" t="str">
        <f>_xll.RssMarket($A3, C$1)</f>
        <v>2026/01/26</v>
      </c>
      <c r="D3" s="7" t="str">
        <f>_xll.RssMarket($A3, D$1)</f>
        <v>09:45:24</v>
      </c>
      <c r="E3" s="8">
        <f>_xll.RssMarket($A3, E$1)</f>
        <v>3529</v>
      </c>
      <c r="F3" s="8">
        <f>_xll.RssMarket($A3, F$1)</f>
        <v>3614</v>
      </c>
      <c r="G3" s="8">
        <f>_xll.RssMarket($A3, G$1)</f>
        <v>-85</v>
      </c>
      <c r="H3" s="8">
        <f>_xll.RssMarket($A3, H$1)</f>
        <v>5874600</v>
      </c>
    </row>
    <row r="4" spans="1:8" ht="23.25">
      <c r="A4" s="5" t="s">
        <v>0</v>
      </c>
      <c r="B4" s="6" t="str">
        <f>_xll.RssMarket($A4, B$1)</f>
        <v>三菱重工業</v>
      </c>
      <c r="C4" s="7" t="str">
        <f>_xll.RssMarket($A4, C$1)</f>
        <v>2026/01/26</v>
      </c>
      <c r="D4" s="7" t="str">
        <f>_xll.RssMarket($A4, D$1)</f>
        <v>09:45:23</v>
      </c>
      <c r="E4" s="8">
        <f>_xll.RssMarket($A4, E$1)</f>
        <v>4583</v>
      </c>
      <c r="F4" s="8">
        <f>_xll.RssMarket($A4, F$1)</f>
        <v>4601</v>
      </c>
      <c r="G4" s="8">
        <f>_xll.RssMarket($A4, G$1)</f>
        <v>-18</v>
      </c>
      <c r="H4" s="8">
        <f>_xll.RssMarket($A4, H$1)</f>
        <v>8568000</v>
      </c>
    </row>
    <row r="5" spans="1:8" ht="23.25">
      <c r="A5" s="5" t="s">
        <v>1</v>
      </c>
      <c r="B5" s="6" t="str">
        <f>_xll.RssMarket($A5, B$1)</f>
        <v>トヨタ自動車</v>
      </c>
      <c r="C5" s="7" t="str">
        <f>_xll.RssMarket($A5, C$1)</f>
        <v>2026/01/26</v>
      </c>
      <c r="D5" s="7" t="str">
        <f>_xll.RssMarket($A5, D$1)</f>
        <v>09:45:23</v>
      </c>
      <c r="E5" s="8">
        <f>_xll.RssMarket($A5, E$1)</f>
        <v>3507</v>
      </c>
      <c r="F5" s="8">
        <f>_xll.RssMarket($A5, F$1)</f>
        <v>3624</v>
      </c>
      <c r="G5" s="8">
        <f>_xll.RssMarket($A5, G$1)</f>
        <v>-117</v>
      </c>
      <c r="H5" s="8">
        <f>_xll.RssMarket($A5, H$1)</f>
        <v>8839300</v>
      </c>
    </row>
    <row r="6" spans="1:8" ht="23.25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2026/01/26</v>
      </c>
      <c r="D6" s="7" t="str">
        <f>_xll.RssMarket($A6, D$1)</f>
        <v>09:45:23</v>
      </c>
      <c r="E6" s="8">
        <f>_xll.RssMarket($A6, E$1)</f>
        <v>2758.5</v>
      </c>
      <c r="F6" s="8">
        <f>_xll.RssMarket($A6, F$1)</f>
        <v>2835.5</v>
      </c>
      <c r="G6" s="8">
        <f>_xll.RssMarket($A6, G$1)</f>
        <v>-77</v>
      </c>
      <c r="H6" s="8">
        <f>_xll.RssMarket($A6, H$1)</f>
        <v>18671400</v>
      </c>
    </row>
    <row r="7" spans="1:8" ht="23.25">
      <c r="A7" s="5" t="s">
        <v>13</v>
      </c>
      <c r="B7" s="6" t="str">
        <f>_xll.RssMarket($A7, B$1)</f>
        <v>ＮＴＴ</v>
      </c>
      <c r="C7" s="7" t="str">
        <f>_xll.RssMarket($A7, C$1)</f>
        <v>2026/01/26</v>
      </c>
      <c r="D7" s="7" t="str">
        <f>_xll.RssMarket($A7, D$1)</f>
        <v>09:45:23</v>
      </c>
      <c r="E7" s="8">
        <f>_xll.RssMarket($A7, E$1)</f>
        <v>156.30000000000001</v>
      </c>
      <c r="F7" s="8">
        <f>_xll.RssMarket($A7, F$1)</f>
        <v>157.5</v>
      </c>
      <c r="G7" s="8">
        <f>_xll.RssMarket($A7, G$1)</f>
        <v>-1.2</v>
      </c>
      <c r="H7" s="8">
        <f>_xll.RssMarket($A7, H$1)</f>
        <v>55601600</v>
      </c>
    </row>
    <row r="8" spans="1:8" ht="23.25">
      <c r="A8" s="5" t="s">
        <v>14</v>
      </c>
      <c r="B8" s="6" t="str">
        <f>_xll.RssMarket($A8, B$1)</f>
        <v>ソフトバンクグループ</v>
      </c>
      <c r="C8" s="7" t="str">
        <f>_xll.RssMarket($A8, C$1)</f>
        <v>2026/01/26</v>
      </c>
      <c r="D8" s="7" t="str">
        <f>_xll.RssMarket($A8, D$1)</f>
        <v>09:45:24</v>
      </c>
      <c r="E8" s="8">
        <f>_xll.RssMarket($A8, E$1)</f>
        <v>4108</v>
      </c>
      <c r="F8" s="8">
        <f>_xll.RssMarket($A8, F$1)</f>
        <v>4274</v>
      </c>
      <c r="G8" s="8">
        <f>_xll.RssMarket($A8, G$1)</f>
        <v>-166</v>
      </c>
      <c r="H8" s="8">
        <f>_xll.RssMarket($A8, H$1)</f>
        <v>13572100</v>
      </c>
    </row>
    <row r="9" spans="1:8" s="6" customFormat="1" ht="23.25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E81B-8744-43A9-8635-7FD1C9129F85}">
  <sheetPr codeName="Sheet2"/>
  <dimension ref="A1:T4"/>
  <sheetViews>
    <sheetView tabSelected="1" workbookViewId="0">
      <selection activeCell="F1" sqref="F1"/>
    </sheetView>
  </sheetViews>
  <sheetFormatPr defaultColWidth="11.875" defaultRowHeight="18.75"/>
  <cols>
    <col min="1" max="1" width="11.25" customWidth="1"/>
    <col min="2" max="3" width="9" bestFit="1" customWidth="1"/>
    <col min="4" max="4" width="8.5" bestFit="1" customWidth="1"/>
    <col min="5" max="6" width="9" bestFit="1" customWidth="1"/>
    <col min="7" max="7" width="8.5" bestFit="1" customWidth="1"/>
    <col min="8" max="9" width="9" bestFit="1" customWidth="1"/>
    <col min="10" max="10" width="8.5" bestFit="1" customWidth="1"/>
    <col min="11" max="11" width="9.5" bestFit="1" customWidth="1"/>
    <col min="12" max="12" width="11" bestFit="1" customWidth="1"/>
    <col min="13" max="14" width="8.5" bestFit="1" customWidth="1"/>
    <col min="15" max="15" width="9" bestFit="1" customWidth="1"/>
    <col min="16" max="18" width="11" bestFit="1" customWidth="1"/>
    <col min="19" max="19" width="9" bestFit="1" customWidth="1"/>
    <col min="20" max="20" width="13" bestFit="1" customWidth="1"/>
  </cols>
  <sheetData>
    <row r="1" spans="1:20">
      <c r="A1" t="str" cm="1">
        <f t="array" ref="A1">_xll.RssMarginPositionList($A$2:$T$2)</f>
        <v>=RssMarginPositionList($A$2:$T$2) =&gt; 配信中</v>
      </c>
    </row>
    <row r="2" spans="1:20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  <c r="I2" t="s">
        <v>24</v>
      </c>
      <c r="J2" t="s">
        <v>25</v>
      </c>
      <c r="K2" t="s">
        <v>26</v>
      </c>
      <c r="L2" t="s">
        <v>27</v>
      </c>
      <c r="M2" t="s">
        <v>28</v>
      </c>
      <c r="N2" t="s">
        <v>29</v>
      </c>
      <c r="O2" t="s">
        <v>30</v>
      </c>
      <c r="P2" t="s">
        <v>31</v>
      </c>
      <c r="Q2" t="s">
        <v>32</v>
      </c>
      <c r="R2" t="s">
        <v>33</v>
      </c>
      <c r="S2" t="s">
        <v>34</v>
      </c>
      <c r="T2" t="s">
        <v>35</v>
      </c>
    </row>
    <row r="3" spans="1:20">
      <c r="A3" s="16" t="s">
        <v>40</v>
      </c>
      <c r="B3" s="16" t="s">
        <v>40</v>
      </c>
      <c r="C3" s="16" t="s">
        <v>40</v>
      </c>
      <c r="D3" s="16" t="s">
        <v>40</v>
      </c>
      <c r="E3" s="16" t="s">
        <v>40</v>
      </c>
      <c r="F3" s="16" t="s">
        <v>40</v>
      </c>
      <c r="G3" s="16" t="s">
        <v>40</v>
      </c>
      <c r="H3" s="16" t="s">
        <v>40</v>
      </c>
      <c r="I3" s="16" t="s">
        <v>40</v>
      </c>
      <c r="J3" s="16" t="s">
        <v>40</v>
      </c>
      <c r="K3" s="16" t="s">
        <v>40</v>
      </c>
      <c r="L3" s="16" t="s">
        <v>40</v>
      </c>
      <c r="M3" s="16" t="s">
        <v>40</v>
      </c>
      <c r="N3" s="16" t="s">
        <v>40</v>
      </c>
      <c r="O3" s="16" t="s">
        <v>40</v>
      </c>
      <c r="P3" s="16" t="s">
        <v>40</v>
      </c>
      <c r="Q3" s="16" t="s">
        <v>40</v>
      </c>
      <c r="R3" s="16" t="s">
        <v>40</v>
      </c>
      <c r="S3" s="16" t="s">
        <v>40</v>
      </c>
      <c r="T3" s="16" t="s">
        <v>40</v>
      </c>
    </row>
    <row r="4" spans="1:20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21B7-A7CE-49C3-85C1-0F3E82A5CAFA}">
  <sheetPr codeName="Sheet3"/>
  <dimension ref="A1:C10"/>
  <sheetViews>
    <sheetView workbookViewId="0">
      <selection activeCell="C10" sqref="C10"/>
    </sheetView>
  </sheetViews>
  <sheetFormatPr defaultRowHeight="18.75"/>
  <cols>
    <col min="1" max="1" width="14.75" bestFit="1" customWidth="1"/>
    <col min="2" max="2" width="11" style="18" bestFit="1" customWidth="1"/>
    <col min="3" max="3" width="71.875" bestFit="1" customWidth="1"/>
  </cols>
  <sheetData>
    <row r="1" spans="1:3">
      <c r="A1" t="s">
        <v>36</v>
      </c>
      <c r="B1" s="18" t="s">
        <v>38</v>
      </c>
      <c r="C1" t="s">
        <v>37</v>
      </c>
    </row>
    <row r="2" spans="1:3">
      <c r="A2" s="17">
        <v>46048.297824074078</v>
      </c>
      <c r="B2" s="18" t="s">
        <v>41</v>
      </c>
      <c r="C2" t="s">
        <v>42</v>
      </c>
    </row>
    <row r="3" spans="1:3">
      <c r="A3" s="17">
        <v>46048.297881944447</v>
      </c>
      <c r="B3" s="18" t="s">
        <v>41</v>
      </c>
      <c r="C3" t="s">
        <v>39</v>
      </c>
    </row>
    <row r="4" spans="1:3">
      <c r="A4" s="17">
        <v>46048.375914351855</v>
      </c>
      <c r="B4" s="18" t="s">
        <v>41</v>
      </c>
      <c r="C4" t="s">
        <v>43</v>
      </c>
    </row>
    <row r="5" spans="1:3">
      <c r="A5" s="17">
        <v>46048.377488425926</v>
      </c>
      <c r="B5" s="18" t="s">
        <v>41</v>
      </c>
      <c r="C5" t="s">
        <v>44</v>
      </c>
    </row>
    <row r="6" spans="1:3">
      <c r="A6" s="17">
        <v>46048.378900462965</v>
      </c>
      <c r="B6" s="18" t="s">
        <v>41</v>
      </c>
      <c r="C6" t="s">
        <v>43</v>
      </c>
    </row>
    <row r="7" spans="1:3">
      <c r="A7" s="17">
        <v>46048.382175925923</v>
      </c>
      <c r="B7" s="18" t="s">
        <v>41</v>
      </c>
      <c r="C7" t="s">
        <v>44</v>
      </c>
    </row>
    <row r="8" spans="1:3">
      <c r="A8" s="17">
        <v>46048.382534722223</v>
      </c>
      <c r="B8" s="18" t="s">
        <v>41</v>
      </c>
      <c r="C8" t="s">
        <v>44</v>
      </c>
    </row>
    <row r="9" spans="1:3">
      <c r="A9" s="17">
        <v>46048.383831018517</v>
      </c>
      <c r="B9" s="18" t="s">
        <v>41</v>
      </c>
      <c r="C9" t="s">
        <v>43</v>
      </c>
    </row>
    <row r="10" spans="1:3">
      <c r="A10" s="17">
        <v>46048.386886574073</v>
      </c>
      <c r="B10" s="18" t="s">
        <v>41</v>
      </c>
      <c r="C10" t="s">
        <v>43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Cover</vt:lpstr>
      <vt:lpstr>Positions</vt:lpstr>
      <vt:lpstr>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2026-01-26T00:45:31Z</dcterms:modified>
</cp:coreProperties>
</file>