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395F5A18-CBFA-4CFF-B611-16A3E85140F7}" xr6:coauthVersionLast="47" xr6:coauthVersionMax="47" xr10:uidLastSave="{00000000-0000-0000-0000-000000000000}"/>
  <bookViews>
    <workbookView xWindow="16155" yWindow="5835" windowWidth="12450" windowHeight="9720" activeTab="1" xr2:uid="{C298ECF3-98FE-42A0-A341-B5A366C6BD72}"/>
  </bookViews>
  <sheets>
    <sheet name="Cover" sheetId="1" r:id="rId1"/>
    <sheet name="Portfoli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 a="1"/>
  <c r="B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<sst xmlns="http://schemas.openxmlformats.org/spreadsheetml/2006/main" count="82" uniqueCount="41">
  <si>
    <r>
      <rPr>
        <b/>
        <sz val="12"/>
        <color theme="0"/>
        <rFont val="游ゴシック"/>
        <family val="3"/>
        <charset val="128"/>
      </rPr>
      <t>銘柄コード</t>
    </r>
    <r>
      <rPr>
        <b/>
        <sz val="12"/>
        <color theme="0"/>
        <rFont val="Noto Sans Mono"/>
        <family val="3"/>
      </rPr>
      <t xml:space="preserve"> </t>
    </r>
  </si>
  <si>
    <r>
      <rPr>
        <b/>
        <sz val="12"/>
        <color theme="0"/>
        <rFont val="游ゴシック"/>
        <family val="3"/>
        <charset val="128"/>
      </rPr>
      <t>銘柄名称</t>
    </r>
  </si>
  <si>
    <r>
      <rPr>
        <b/>
        <sz val="12"/>
        <color theme="0"/>
        <rFont val="游ゴシック"/>
        <family val="3"/>
        <charset val="128"/>
      </rPr>
      <t>口座区分</t>
    </r>
  </si>
  <si>
    <r>
      <rPr>
        <b/>
        <sz val="12"/>
        <color theme="0"/>
        <rFont val="游ゴシック"/>
        <family val="3"/>
        <charset val="128"/>
      </rPr>
      <t>保有数量</t>
    </r>
  </si>
  <si>
    <r>
      <rPr>
        <b/>
        <sz val="12"/>
        <color theme="0"/>
        <rFont val="游ゴシック"/>
        <family val="3"/>
        <charset val="128"/>
      </rPr>
      <t>発注数量</t>
    </r>
  </si>
  <si>
    <r>
      <rPr>
        <b/>
        <sz val="12"/>
        <color theme="0"/>
        <rFont val="游ゴシック"/>
        <family val="3"/>
        <charset val="128"/>
      </rPr>
      <t>平均取得価額</t>
    </r>
  </si>
  <si>
    <r>
      <rPr>
        <b/>
        <sz val="12"/>
        <color theme="0"/>
        <rFont val="游ゴシック"/>
        <family val="3"/>
        <charset val="128"/>
      </rPr>
      <t>時価</t>
    </r>
  </si>
  <si>
    <r>
      <rPr>
        <b/>
        <sz val="12"/>
        <color theme="0"/>
        <rFont val="游ゴシック"/>
        <family val="3"/>
        <charset val="128"/>
      </rPr>
      <t>前日比</t>
    </r>
  </si>
  <si>
    <r>
      <rPr>
        <b/>
        <sz val="12"/>
        <color theme="0"/>
        <rFont val="游ゴシック"/>
        <family val="3"/>
        <charset val="128"/>
      </rPr>
      <t>前日比率</t>
    </r>
  </si>
  <si>
    <r>
      <rPr>
        <b/>
        <sz val="12"/>
        <color theme="0"/>
        <rFont val="游ゴシック"/>
        <family val="3"/>
        <charset val="128"/>
      </rPr>
      <t>時価評価額</t>
    </r>
  </si>
  <si>
    <r>
      <rPr>
        <b/>
        <sz val="12"/>
        <color theme="0"/>
        <rFont val="游ゴシック"/>
        <family val="3"/>
        <charset val="128"/>
      </rPr>
      <t>評価損益額</t>
    </r>
  </si>
  <si>
    <r>
      <rPr>
        <b/>
        <sz val="12"/>
        <color theme="0"/>
        <rFont val="游ゴシック"/>
        <family val="3"/>
        <charset val="128"/>
      </rPr>
      <t>評価損益率</t>
    </r>
  </si>
  <si>
    <r>
      <rPr>
        <b/>
        <sz val="12"/>
        <color theme="0"/>
        <rFont val="游ゴシック"/>
        <family val="3"/>
        <charset val="128"/>
      </rPr>
      <t>銘柄情報等</t>
    </r>
  </si>
  <si>
    <r>
      <t>JAX</t>
    </r>
    <r>
      <rPr>
        <b/>
        <sz val="12"/>
        <color theme="0"/>
        <rFont val="游ゴシック"/>
        <family val="3"/>
        <charset val="128"/>
      </rPr>
      <t>時価</t>
    </r>
  </si>
  <si>
    <r>
      <t>JNX</t>
    </r>
    <r>
      <rPr>
        <b/>
        <sz val="12"/>
        <color theme="0"/>
        <rFont val="游ゴシック"/>
        <family val="3"/>
        <charset val="128"/>
      </rPr>
      <t>時価</t>
    </r>
  </si>
  <si>
    <r>
      <t>Chi-X</t>
    </r>
    <r>
      <rPr>
        <b/>
        <sz val="12"/>
        <color theme="0"/>
        <rFont val="游ゴシック"/>
        <family val="3"/>
        <charset val="128"/>
      </rPr>
      <t>時価</t>
    </r>
  </si>
  <si>
    <t>PER</t>
  </si>
  <si>
    <t>PBR</t>
  </si>
  <si>
    <r>
      <rPr>
        <b/>
        <sz val="12"/>
        <color theme="0"/>
        <rFont val="游ゴシック"/>
        <family val="3"/>
        <charset val="128"/>
      </rPr>
      <t>配当利回り</t>
    </r>
  </si>
  <si>
    <t>特定</t>
  </si>
  <si>
    <t>-</t>
  </si>
  <si>
    <t>ＪＸ金属</t>
  </si>
  <si>
    <r>
      <rPr>
        <b/>
        <sz val="12"/>
        <color theme="0"/>
        <rFont val="游ゴシック"/>
        <family val="2"/>
        <charset val="128"/>
      </rPr>
      <t>保有銘柄一覧</t>
    </r>
    <rPh sb="0" eb="4">
      <t>ホユウメイガラ</t>
    </rPh>
    <rPh sb="4" eb="6">
      <t>イチラン</t>
    </rPh>
    <phoneticPr fontId="1"/>
  </si>
  <si>
    <t>決算</t>
  </si>
  <si>
    <t>オンワ－ドホールディングス</t>
  </si>
  <si>
    <t>特定</t>
    <phoneticPr fontId="1"/>
  </si>
  <si>
    <t>決算</t>
    <phoneticPr fontId="1"/>
  </si>
  <si>
    <t>335A</t>
    <phoneticPr fontId="1"/>
  </si>
  <si>
    <t>ミライロ</t>
    <phoneticPr fontId="1"/>
  </si>
  <si>
    <t>セルシード</t>
  </si>
  <si>
    <t>双葉電子工業</t>
  </si>
  <si>
    <t>ＣＹＢＥＲＤＹＮＥ</t>
  </si>
  <si>
    <t>ネクセラファーマ</t>
  </si>
  <si>
    <t>--------</t>
  </si>
  <si>
    <t>テーオーホールディングス</t>
  </si>
  <si>
    <t>ココナラ</t>
  </si>
  <si>
    <t>日清紡ホールディングス</t>
  </si>
  <si>
    <t>スリー・ディー・マトリックス</t>
  </si>
  <si>
    <t>ケアネット</t>
  </si>
  <si>
    <t>リビングプラットフォーム</t>
  </si>
  <si>
    <t>ワコム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</si>
</sst>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_ "/>
    <numFmt numFmtId="177" formatCode="0.0_ "/>
    <numFmt numFmtId="178" formatCode="0.00_ "/>
    <numFmt numFmtId="179" formatCode="0.00_ ;[Red]\-0.00\ "/>
    <numFmt numFmtId="180" formatCode="#,##0_ ;[Red]\-#,##0\ "/>
    <numFmt numFmtId="181" formatCode="#,##0.0_ "/>
    <numFmt numFmtId="182" formatCode="0.0_ ;[Red]\-0.0\ 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0"/>
      <name val="Noto Sans Mono"/>
      <family val="3"/>
    </font>
    <font>
      <b/>
      <sz val="12"/>
      <color theme="0"/>
      <name val="游ゴシック"/>
      <family val="3"/>
      <charset val="128"/>
    </font>
    <font>
      <sz val="11"/>
      <color theme="1"/>
      <name val="Noto Sans Mono"/>
      <family val="3"/>
    </font>
    <font>
      <sz val="12"/>
      <color theme="1"/>
      <name val="Noto Sans Mono"/>
      <family val="3"/>
    </font>
    <font>
      <b/>
      <sz val="12"/>
      <color theme="0"/>
      <name val="游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9.9978637043366805E-2"/>
        <bgColor indexed="64"/>
      </patternFill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2" borderId="0" xfId="0" applyFont="1" applyFill="1">
      <alignment vertical="center"/>
    </xf>
    <xf numFmtId="176" fontId="2" fillId="2" borderId="0" xfId="0" applyNumberFormat="1" applyFont="1" applyFill="1">
      <alignment vertical="center"/>
    </xf>
    <xf numFmtId="177" fontId="2" fillId="2" borderId="0" xfId="0" applyNumberFormat="1" applyFont="1" applyFill="1">
      <alignment vertical="center"/>
    </xf>
    <xf numFmtId="178" fontId="2" fillId="2" borderId="0" xfId="0" applyNumberFormat="1" applyFont="1" applyFill="1">
      <alignment vertical="center"/>
    </xf>
    <xf numFmtId="0" fontId="4" fillId="0" borderId="0" xfId="0" applyFont="1">
      <alignment vertical="center"/>
    </xf>
    <xf numFmtId="0" fontId="4" fillId="0" borderId="0" xfId="0" quotePrefix="1" applyFont="1">
      <alignment vertical="center"/>
    </xf>
    <xf numFmtId="0" fontId="5" fillId="0" borderId="0" xfId="0" applyFont="1">
      <alignment vertical="center"/>
    </xf>
    <xf numFmtId="0" fontId="2" fillId="3" borderId="0" xfId="0" applyFont="1" applyFill="1">
      <alignment vertical="center"/>
    </xf>
    <xf numFmtId="176" fontId="4" fillId="0" borderId="0" xfId="0" applyNumberFormat="1" applyFont="1">
      <alignment vertical="center"/>
    </xf>
    <xf numFmtId="176" fontId="4" fillId="0" borderId="0" xfId="0" quotePrefix="1" applyNumberFormat="1" applyFont="1">
      <alignment vertical="center"/>
    </xf>
    <xf numFmtId="177" fontId="4" fillId="0" borderId="0" xfId="0" applyNumberFormat="1" applyFont="1">
      <alignment vertical="center"/>
    </xf>
    <xf numFmtId="177" fontId="4" fillId="0" borderId="0" xfId="0" quotePrefix="1" applyNumberFormat="1" applyFont="1">
      <alignment vertical="center"/>
    </xf>
    <xf numFmtId="179" fontId="2" fillId="2" borderId="0" xfId="0" applyNumberFormat="1" applyFont="1" applyFill="1">
      <alignment vertical="center"/>
    </xf>
    <xf numFmtId="179" fontId="4" fillId="0" borderId="0" xfId="0" applyNumberFormat="1" applyFont="1">
      <alignment vertical="center"/>
    </xf>
    <xf numFmtId="179" fontId="4" fillId="0" borderId="0" xfId="0" quotePrefix="1" applyNumberFormat="1" applyFont="1">
      <alignment vertical="center"/>
    </xf>
    <xf numFmtId="178" fontId="4" fillId="0" borderId="0" xfId="0" applyNumberFormat="1" applyFont="1">
      <alignment vertical="center"/>
    </xf>
    <xf numFmtId="178" fontId="4" fillId="0" borderId="0" xfId="0" quotePrefix="1" applyNumberFormat="1" applyFont="1">
      <alignment vertical="center"/>
    </xf>
    <xf numFmtId="180" fontId="2" fillId="2" borderId="0" xfId="0" applyNumberFormat="1" applyFont="1" applyFill="1">
      <alignment vertical="center"/>
    </xf>
    <xf numFmtId="180" fontId="4" fillId="0" borderId="0" xfId="0" applyNumberFormat="1" applyFont="1">
      <alignment vertical="center"/>
    </xf>
    <xf numFmtId="180" fontId="4" fillId="0" borderId="0" xfId="0" quotePrefix="1" applyNumberFormat="1" applyFont="1">
      <alignment vertical="center"/>
    </xf>
    <xf numFmtId="181" fontId="2" fillId="2" borderId="0" xfId="0" applyNumberFormat="1" applyFont="1" applyFill="1">
      <alignment vertical="center"/>
    </xf>
    <xf numFmtId="181" fontId="4" fillId="0" borderId="0" xfId="0" applyNumberFormat="1" applyFont="1">
      <alignment vertical="center"/>
    </xf>
    <xf numFmtId="181" fontId="4" fillId="0" borderId="0" xfId="0" quotePrefix="1" applyNumberFormat="1" applyFont="1">
      <alignment vertical="center"/>
    </xf>
    <xf numFmtId="182" fontId="2" fillId="2" borderId="0" xfId="0" applyNumberFormat="1" applyFont="1" applyFill="1">
      <alignment vertical="center"/>
    </xf>
    <xf numFmtId="182" fontId="4" fillId="0" borderId="0" xfId="0" applyNumberFormat="1" applyFont="1">
      <alignment vertical="center"/>
    </xf>
    <xf numFmtId="182" fontId="4" fillId="0" borderId="0" xfId="0" quotePrefix="1" applyNumberFormat="1" applyFont="1">
      <alignment vertical="center"/>
    </xf>
    <xf numFmtId="0" fontId="2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quotePrefix="1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55cdf75919674693a47978708c470d1d">
      <tp t="s">
        <v/>
        <stp/>
        <stp>PositionList</stp>
        <stp>1996609817952,0,0,1,1</stp>
        <stp/>
        <stp>A</stp>
        <tr r="B1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AF260-BC7E-4BD2-A306-5F3624F77440}">
  <sheetPr codeName="Sheet1"/>
  <dimension ref="A1:B1"/>
  <sheetViews>
    <sheetView workbookViewId="0">
      <selection activeCell="B6" sqref="B6"/>
    </sheetView>
  </sheetViews>
  <sheetFormatPr defaultRowHeight="23.25" x14ac:dyDescent="0.4"/>
  <cols>
    <col min="1" max="1" width="14.125" style="7" bestFit="1" customWidth="1"/>
    <col min="2" max="2" width="64.375" style="7" bestFit="1" customWidth="1"/>
    <col min="3" max="16384" width="9" style="7"/>
  </cols>
  <sheetData>
    <row r="1" spans="1:2" x14ac:dyDescent="0.4">
      <c r="A1" s="8" t="s">
        <v>22</v>
      </c>
      <c r="B1" s="7" t="str" cm="1">
        <f t="array" ref="B1">_xll.RssPositionList(Portfolio!$A$1:$S$1)</f>
        <v>=RssPositionList(Portfolio!$A$1:$S$1) =&gt; 配信中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D5728-6E25-4EF5-A78F-41506FDBD934}">
  <sheetPr codeName="Sheet2"/>
  <dimension ref="A1:S21"/>
  <sheetViews>
    <sheetView tabSelected="1" workbookViewId="0">
      <pane ySplit="1" topLeftCell="A2" activePane="bottomLeft" state="frozen"/>
      <selection pane="bottomLeft" activeCell="B19" sqref="B19"/>
    </sheetView>
  </sheetViews>
  <sheetFormatPr defaultRowHeight="21" x14ac:dyDescent="0.4"/>
  <cols>
    <col min="1" max="1" width="11.875" style="28" bestFit="1" customWidth="1"/>
    <col min="2" max="2" width="29.625" style="5" bestFit="1" customWidth="1"/>
    <col min="3" max="3" width="10.75" style="5" bestFit="1" customWidth="1"/>
    <col min="4" max="5" width="10.75" style="9" bestFit="1" customWidth="1"/>
    <col min="6" max="6" width="14.125" style="22" bestFit="1" customWidth="1"/>
    <col min="7" max="7" width="10.75" style="22" bestFit="1" customWidth="1"/>
    <col min="8" max="9" width="10.75" style="14" bestFit="1" customWidth="1"/>
    <col min="10" max="11" width="11.875" style="19" bestFit="1" customWidth="1"/>
    <col min="12" max="12" width="11.875" style="25" bestFit="1" customWidth="1"/>
    <col min="13" max="13" width="11.875" style="5" bestFit="1" customWidth="1"/>
    <col min="14" max="15" width="10.75" style="11" bestFit="1" customWidth="1"/>
    <col min="16" max="16" width="12.125" style="11" bestFit="1" customWidth="1"/>
    <col min="17" max="18" width="10.75" style="16" bestFit="1" customWidth="1"/>
    <col min="19" max="19" width="11.875" style="16" bestFit="1" customWidth="1"/>
    <col min="20" max="16384" width="9" style="5"/>
  </cols>
  <sheetData>
    <row r="1" spans="1:19" ht="23.25" x14ac:dyDescent="0.4">
      <c r="A1" s="27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1" t="s">
        <v>5</v>
      </c>
      <c r="G1" s="21" t="s">
        <v>6</v>
      </c>
      <c r="H1" s="13" t="s">
        <v>7</v>
      </c>
      <c r="I1" s="13" t="s">
        <v>8</v>
      </c>
      <c r="J1" s="18" t="s">
        <v>9</v>
      </c>
      <c r="K1" s="18" t="s">
        <v>10</v>
      </c>
      <c r="L1" s="24" t="s">
        <v>11</v>
      </c>
      <c r="M1" s="1" t="s">
        <v>12</v>
      </c>
      <c r="N1" s="3" t="s">
        <v>13</v>
      </c>
      <c r="O1" s="3" t="s">
        <v>14</v>
      </c>
      <c r="P1" s="3" t="s">
        <v>15</v>
      </c>
      <c r="Q1" s="4" t="s">
        <v>16</v>
      </c>
      <c r="R1" s="4" t="s">
        <v>17</v>
      </c>
      <c r="S1" s="4" t="s">
        <v>18</v>
      </c>
    </row>
    <row r="2" spans="1:19" x14ac:dyDescent="0.4">
      <c r="A2" s="28">
        <v>3105</v>
      </c>
      <c r="B2" s="5" t="s">
        <v>36</v>
      </c>
      <c r="C2" s="5" t="s">
        <v>19</v>
      </c>
      <c r="D2" s="9">
        <v>100</v>
      </c>
      <c r="E2" s="9">
        <v>0</v>
      </c>
      <c r="F2" s="22">
        <v>937.1</v>
      </c>
      <c r="G2" s="22">
        <v>939.9</v>
      </c>
      <c r="H2" s="14">
        <v>2.4</v>
      </c>
      <c r="I2" s="14">
        <v>0.26</v>
      </c>
      <c r="J2" s="19">
        <v>93990</v>
      </c>
      <c r="K2" s="19">
        <v>280</v>
      </c>
      <c r="L2" s="25">
        <v>0.298794</v>
      </c>
      <c r="M2" s="5" t="s">
        <v>23</v>
      </c>
      <c r="N2" s="11">
        <v>940.1</v>
      </c>
      <c r="O2" s="11">
        <v>940.8</v>
      </c>
      <c r="P2" s="11">
        <v>940.3</v>
      </c>
      <c r="Q2" s="16">
        <v>8.01</v>
      </c>
      <c r="R2" s="16">
        <v>0.54</v>
      </c>
      <c r="S2" s="16">
        <v>3.84</v>
      </c>
    </row>
    <row r="3" spans="1:19" x14ac:dyDescent="0.4">
      <c r="A3" s="28" t="s">
        <v>27</v>
      </c>
      <c r="B3" s="5" t="s">
        <v>28</v>
      </c>
      <c r="C3" s="5" t="s">
        <v>25</v>
      </c>
      <c r="D3" s="9">
        <v>100</v>
      </c>
      <c r="E3" s="9">
        <v>0</v>
      </c>
      <c r="F3" s="22">
        <v>665</v>
      </c>
      <c r="G3" s="22">
        <v>641</v>
      </c>
      <c r="H3" s="14">
        <v>0</v>
      </c>
      <c r="I3" s="14">
        <v>0</v>
      </c>
      <c r="J3" s="19">
        <v>64100</v>
      </c>
      <c r="K3" s="19">
        <v>-2400</v>
      </c>
      <c r="L3" s="25">
        <v>-3.6090230000000001</v>
      </c>
      <c r="M3" s="5" t="s">
        <v>26</v>
      </c>
      <c r="N3" s="11">
        <v>640.1</v>
      </c>
      <c r="O3" s="11">
        <v>642.1</v>
      </c>
      <c r="P3" s="11">
        <v>640.1</v>
      </c>
      <c r="Q3" s="16">
        <v>69.67</v>
      </c>
      <c r="R3" s="16">
        <v>9.02</v>
      </c>
      <c r="S3" s="16">
        <v>0</v>
      </c>
    </row>
    <row r="4" spans="1:19" x14ac:dyDescent="0.4">
      <c r="A4" s="28">
        <v>4176</v>
      </c>
      <c r="B4" s="5" t="s">
        <v>35</v>
      </c>
      <c r="C4" s="5" t="s">
        <v>19</v>
      </c>
      <c r="D4" s="9">
        <v>100</v>
      </c>
      <c r="E4" s="9">
        <v>0</v>
      </c>
      <c r="F4" s="22">
        <v>399</v>
      </c>
      <c r="G4" s="22">
        <v>393</v>
      </c>
      <c r="H4" s="14">
        <v>5</v>
      </c>
      <c r="I4" s="14">
        <v>1.29</v>
      </c>
      <c r="J4" s="19">
        <v>39300</v>
      </c>
      <c r="K4" s="19">
        <v>-600</v>
      </c>
      <c r="L4" s="25">
        <v>-1.5037590000000001</v>
      </c>
      <c r="M4" s="5" t="s">
        <v>23</v>
      </c>
      <c r="N4" s="11">
        <v>394.3</v>
      </c>
      <c r="O4" s="11">
        <v>393</v>
      </c>
      <c r="P4" s="11">
        <v>393.9</v>
      </c>
      <c r="Q4" s="16">
        <v>31.69</v>
      </c>
      <c r="R4" s="16">
        <v>4.08</v>
      </c>
      <c r="S4" s="16">
        <v>0</v>
      </c>
    </row>
    <row r="5" spans="1:19" x14ac:dyDescent="0.4">
      <c r="A5" s="28">
        <v>4565</v>
      </c>
      <c r="B5" s="5" t="s">
        <v>32</v>
      </c>
      <c r="C5" s="5" t="s">
        <v>19</v>
      </c>
      <c r="D5" s="9">
        <v>100</v>
      </c>
      <c r="E5" s="9">
        <v>0</v>
      </c>
      <c r="F5" s="22">
        <v>879</v>
      </c>
      <c r="G5" s="22">
        <v>861</v>
      </c>
      <c r="H5" s="14">
        <v>-10</v>
      </c>
      <c r="I5" s="14">
        <v>-1.1499999999999999</v>
      </c>
      <c r="J5" s="19">
        <v>86100</v>
      </c>
      <c r="K5" s="19">
        <v>-1800</v>
      </c>
      <c r="L5" s="25">
        <v>-2.0477820000000002</v>
      </c>
      <c r="M5" s="5" t="s">
        <v>23</v>
      </c>
      <c r="N5" s="11">
        <v>860.1</v>
      </c>
      <c r="O5" s="11">
        <v>860.4</v>
      </c>
      <c r="P5" s="11">
        <v>861.1</v>
      </c>
      <c r="Q5" s="16">
        <v>0</v>
      </c>
      <c r="R5" s="16">
        <v>1.1200000000000001</v>
      </c>
      <c r="S5" s="16">
        <v>0</v>
      </c>
    </row>
    <row r="6" spans="1:19" x14ac:dyDescent="0.4">
      <c r="A6" s="28">
        <v>5016</v>
      </c>
      <c r="B6" s="5" t="s">
        <v>21</v>
      </c>
      <c r="C6" s="5" t="s">
        <v>19</v>
      </c>
      <c r="D6" s="9">
        <v>100</v>
      </c>
      <c r="E6" s="9">
        <v>0</v>
      </c>
      <c r="F6" s="22">
        <v>780</v>
      </c>
      <c r="G6" s="22">
        <v>845.3</v>
      </c>
      <c r="H6" s="14">
        <v>5.3</v>
      </c>
      <c r="I6" s="14">
        <v>0.63</v>
      </c>
      <c r="J6" s="19">
        <v>84530</v>
      </c>
      <c r="K6" s="19">
        <v>6530</v>
      </c>
      <c r="L6" s="25">
        <v>8.3717950000000005</v>
      </c>
      <c r="M6" s="5" t="s">
        <v>23</v>
      </c>
      <c r="N6" s="11">
        <v>845.1</v>
      </c>
      <c r="O6" s="11">
        <v>845</v>
      </c>
      <c r="P6" s="11">
        <v>845</v>
      </c>
      <c r="Q6" s="16">
        <v>13.5</v>
      </c>
      <c r="R6" s="16">
        <v>1.27</v>
      </c>
      <c r="S6" s="16">
        <v>1.79</v>
      </c>
    </row>
    <row r="7" spans="1:19" x14ac:dyDescent="0.4">
      <c r="A7" s="28">
        <v>6986</v>
      </c>
      <c r="B7" s="5" t="s">
        <v>30</v>
      </c>
      <c r="C7" s="5" t="s">
        <v>19</v>
      </c>
      <c r="D7" s="9">
        <v>100</v>
      </c>
      <c r="E7" s="9">
        <v>0</v>
      </c>
      <c r="F7" s="22">
        <v>618</v>
      </c>
      <c r="G7" s="22">
        <v>586</v>
      </c>
      <c r="H7" s="14">
        <v>-8</v>
      </c>
      <c r="I7" s="14">
        <v>-1.35</v>
      </c>
      <c r="J7" s="19">
        <v>58600</v>
      </c>
      <c r="K7" s="19">
        <v>-3200</v>
      </c>
      <c r="L7" s="25">
        <v>-5.177994</v>
      </c>
      <c r="M7" s="5" t="s">
        <v>23</v>
      </c>
      <c r="N7" s="11">
        <v>587</v>
      </c>
      <c r="O7" s="11">
        <v>585.1</v>
      </c>
      <c r="P7" s="11">
        <v>585.1</v>
      </c>
      <c r="Q7" s="16">
        <v>15.54</v>
      </c>
      <c r="R7" s="16">
        <v>0.32</v>
      </c>
      <c r="S7" s="16">
        <v>1.68</v>
      </c>
    </row>
    <row r="8" spans="1:19" x14ac:dyDescent="0.4">
      <c r="A8" s="28">
        <v>7776</v>
      </c>
      <c r="B8" s="5" t="s">
        <v>29</v>
      </c>
      <c r="C8" s="5" t="s">
        <v>19</v>
      </c>
      <c r="D8" s="9">
        <v>100</v>
      </c>
      <c r="E8" s="9">
        <v>0</v>
      </c>
      <c r="F8" s="22">
        <v>492</v>
      </c>
      <c r="G8" s="22">
        <v>473</v>
      </c>
      <c r="H8" s="14">
        <v>1</v>
      </c>
      <c r="I8" s="14">
        <v>0.21</v>
      </c>
      <c r="J8" s="19">
        <v>47300</v>
      </c>
      <c r="K8" s="19">
        <v>-1900</v>
      </c>
      <c r="L8" s="25">
        <v>-3.8617889999999999</v>
      </c>
      <c r="M8" s="5" t="s">
        <v>23</v>
      </c>
      <c r="N8" s="11">
        <v>475.2</v>
      </c>
      <c r="O8" s="11">
        <v>473.1</v>
      </c>
      <c r="P8" s="11">
        <v>474.7</v>
      </c>
      <c r="Q8" s="16">
        <v>0</v>
      </c>
      <c r="R8" s="16">
        <v>7.61</v>
      </c>
      <c r="S8" s="16">
        <v>0</v>
      </c>
    </row>
    <row r="9" spans="1:19" x14ac:dyDescent="0.4">
      <c r="A9" s="28">
        <v>7777</v>
      </c>
      <c r="B9" s="5" t="s">
        <v>37</v>
      </c>
      <c r="C9" s="5" t="s">
        <v>19</v>
      </c>
      <c r="D9" s="9">
        <v>100</v>
      </c>
      <c r="E9" s="9">
        <v>0</v>
      </c>
      <c r="F9" s="22">
        <v>207</v>
      </c>
      <c r="G9" s="22">
        <v>200</v>
      </c>
      <c r="H9" s="14">
        <v>6</v>
      </c>
      <c r="I9" s="14">
        <v>3.09</v>
      </c>
      <c r="J9" s="19">
        <v>20000</v>
      </c>
      <c r="K9" s="19">
        <v>-700</v>
      </c>
      <c r="L9" s="25">
        <v>-3.381643</v>
      </c>
      <c r="M9" s="5" t="s">
        <v>20</v>
      </c>
      <c r="N9" s="11">
        <v>200.2</v>
      </c>
      <c r="O9" s="11">
        <v>200.1</v>
      </c>
      <c r="P9" s="11">
        <v>200.1</v>
      </c>
      <c r="Q9" s="16">
        <v>74.069999999999993</v>
      </c>
      <c r="R9" s="16">
        <v>12.64</v>
      </c>
      <c r="S9" s="16">
        <v>0</v>
      </c>
    </row>
    <row r="10" spans="1:19" x14ac:dyDescent="0.4">
      <c r="A10" s="28">
        <v>7779</v>
      </c>
      <c r="B10" s="5" t="s">
        <v>31</v>
      </c>
      <c r="C10" s="5" t="s">
        <v>19</v>
      </c>
      <c r="D10" s="9">
        <v>100</v>
      </c>
      <c r="E10" s="9">
        <v>0</v>
      </c>
      <c r="F10" s="22">
        <v>184</v>
      </c>
      <c r="G10" s="22">
        <v>178</v>
      </c>
      <c r="H10" s="14">
        <v>-3</v>
      </c>
      <c r="I10" s="14">
        <v>-1.66</v>
      </c>
      <c r="J10" s="19">
        <v>17800</v>
      </c>
      <c r="K10" s="19">
        <v>-600</v>
      </c>
      <c r="L10" s="25">
        <v>-3.2608700000000002</v>
      </c>
      <c r="M10" s="5" t="s">
        <v>23</v>
      </c>
      <c r="N10" s="11">
        <v>178.1</v>
      </c>
      <c r="O10" s="11">
        <v>178</v>
      </c>
      <c r="P10" s="11">
        <v>178.5</v>
      </c>
      <c r="Q10" s="16">
        <v>0</v>
      </c>
      <c r="R10" s="16">
        <v>0.95</v>
      </c>
      <c r="S10" s="16">
        <v>0</v>
      </c>
    </row>
    <row r="11" spans="1:19" x14ac:dyDescent="0.4">
      <c r="A11" s="28">
        <v>8016</v>
      </c>
      <c r="B11" s="5" t="s">
        <v>24</v>
      </c>
      <c r="C11" s="5" t="s">
        <v>19</v>
      </c>
      <c r="D11" s="9">
        <v>100</v>
      </c>
      <c r="E11" s="9">
        <v>0</v>
      </c>
      <c r="F11" s="22">
        <v>607</v>
      </c>
      <c r="G11" s="22">
        <v>593</v>
      </c>
      <c r="H11" s="14">
        <v>-4</v>
      </c>
      <c r="I11" s="14">
        <v>-0.67</v>
      </c>
      <c r="J11" s="19">
        <v>59300</v>
      </c>
      <c r="K11" s="19">
        <v>-1400</v>
      </c>
      <c r="L11" s="25">
        <v>-2.3064249999999999</v>
      </c>
      <c r="M11" s="5" t="s">
        <v>20</v>
      </c>
      <c r="N11" s="11">
        <v>596.29999999999995</v>
      </c>
      <c r="O11" s="11">
        <v>593.1</v>
      </c>
      <c r="P11" s="11">
        <v>594.1</v>
      </c>
      <c r="Q11" s="16">
        <v>8.06</v>
      </c>
      <c r="R11" s="16">
        <v>0.95</v>
      </c>
      <c r="S11" s="16">
        <v>5.03</v>
      </c>
    </row>
    <row r="12" spans="1:19" x14ac:dyDescent="0.4">
      <c r="A12" s="29">
        <v>9812</v>
      </c>
      <c r="B12" s="6" t="s">
        <v>34</v>
      </c>
      <c r="C12" s="6" t="s">
        <v>19</v>
      </c>
      <c r="D12" s="10">
        <v>100</v>
      </c>
      <c r="E12" s="10">
        <v>0</v>
      </c>
      <c r="F12" s="23">
        <v>333</v>
      </c>
      <c r="G12" s="23">
        <v>323</v>
      </c>
      <c r="H12" s="15">
        <v>-6</v>
      </c>
      <c r="I12" s="15">
        <v>-1.82</v>
      </c>
      <c r="J12" s="20">
        <v>32300</v>
      </c>
      <c r="K12" s="20">
        <v>-1000</v>
      </c>
      <c r="L12" s="26">
        <v>-3.0030030000000001</v>
      </c>
      <c r="M12" s="6" t="s">
        <v>23</v>
      </c>
      <c r="N12" s="12">
        <v>323.10000000000002</v>
      </c>
      <c r="O12" s="12">
        <v>323.10000000000002</v>
      </c>
      <c r="P12" s="12">
        <v>0</v>
      </c>
      <c r="Q12" s="17">
        <v>11.49</v>
      </c>
      <c r="R12" s="17">
        <v>4.4800000000000004</v>
      </c>
      <c r="S12" s="17">
        <v>0</v>
      </c>
    </row>
    <row r="13" spans="1:19" x14ac:dyDescent="0.4">
      <c r="A13" s="29">
        <v>2150</v>
      </c>
      <c r="B13" s="6" t="s">
        <v>38</v>
      </c>
      <c r="C13" s="6" t="s">
        <v>19</v>
      </c>
      <c r="D13" s="10">
        <v>100</v>
      </c>
      <c r="E13" s="10">
        <v>0</v>
      </c>
      <c r="F13" s="23">
        <v>716</v>
      </c>
      <c r="G13" s="23">
        <v>717</v>
      </c>
      <c r="H13" s="15">
        <v>26</v>
      </c>
      <c r="I13" s="15">
        <v>3.76</v>
      </c>
      <c r="J13" s="20">
        <v>71700</v>
      </c>
      <c r="K13" s="20">
        <v>100</v>
      </c>
      <c r="L13" s="26">
        <v>0.13966500000000001</v>
      </c>
      <c r="M13" s="6" t="s">
        <v>23</v>
      </c>
      <c r="N13" s="12">
        <v>716.2</v>
      </c>
      <c r="O13" s="12">
        <v>717</v>
      </c>
      <c r="P13" s="12">
        <v>715.7</v>
      </c>
      <c r="Q13" s="17">
        <v>20.02</v>
      </c>
      <c r="R13" s="17">
        <v>2.79</v>
      </c>
      <c r="S13" s="17">
        <v>1.68</v>
      </c>
    </row>
    <row r="14" spans="1:19" x14ac:dyDescent="0.4">
      <c r="A14" s="29">
        <v>7091</v>
      </c>
      <c r="B14" s="6" t="s">
        <v>39</v>
      </c>
      <c r="C14" s="6" t="s">
        <v>19</v>
      </c>
      <c r="D14" s="10">
        <v>100</v>
      </c>
      <c r="E14" s="10">
        <v>0</v>
      </c>
      <c r="F14" s="23">
        <v>950</v>
      </c>
      <c r="G14" s="23">
        <v>933</v>
      </c>
      <c r="H14" s="15">
        <v>55</v>
      </c>
      <c r="I14" s="15">
        <v>6.26</v>
      </c>
      <c r="J14" s="20">
        <v>93300</v>
      </c>
      <c r="K14" s="20">
        <v>-1700</v>
      </c>
      <c r="L14" s="26">
        <v>-1.789474</v>
      </c>
      <c r="M14" s="6" t="s">
        <v>20</v>
      </c>
      <c r="N14" s="12">
        <v>929</v>
      </c>
      <c r="O14" s="12">
        <v>925</v>
      </c>
      <c r="P14" s="12">
        <v>931.1</v>
      </c>
      <c r="Q14" s="17">
        <v>13.06</v>
      </c>
      <c r="R14" s="17">
        <v>2.0499999999999998</v>
      </c>
      <c r="S14" s="17">
        <v>0</v>
      </c>
    </row>
    <row r="15" spans="1:19" x14ac:dyDescent="0.4">
      <c r="A15" s="29">
        <v>6727</v>
      </c>
      <c r="B15" s="6" t="s">
        <v>40</v>
      </c>
      <c r="C15" s="6" t="s">
        <v>19</v>
      </c>
      <c r="D15" s="10">
        <v>100</v>
      </c>
      <c r="E15" s="10">
        <v>0</v>
      </c>
      <c r="F15" s="23">
        <v>677</v>
      </c>
      <c r="G15" s="23">
        <v>678</v>
      </c>
      <c r="H15" s="15">
        <v>7</v>
      </c>
      <c r="I15" s="15">
        <v>1.04</v>
      </c>
      <c r="J15" s="20">
        <v>67800</v>
      </c>
      <c r="K15" s="20">
        <v>100</v>
      </c>
      <c r="L15" s="26">
        <v>0.14771000000000001</v>
      </c>
      <c r="M15" s="6" t="s">
        <v>20</v>
      </c>
      <c r="N15" s="12">
        <v>678</v>
      </c>
      <c r="O15" s="12">
        <v>677.5</v>
      </c>
      <c r="P15" s="12">
        <v>677.9</v>
      </c>
      <c r="Q15" s="17">
        <v>10.72</v>
      </c>
      <c r="R15" s="17">
        <v>2.95</v>
      </c>
      <c r="S15" s="17">
        <v>3.25</v>
      </c>
    </row>
    <row r="16" spans="1:19" x14ac:dyDescent="0.4">
      <c r="A16" s="29" t="s">
        <v>33</v>
      </c>
      <c r="B16" s="6" t="s">
        <v>33</v>
      </c>
      <c r="C16" s="6" t="s">
        <v>33</v>
      </c>
      <c r="D16" s="10" t="s">
        <v>33</v>
      </c>
      <c r="E16" s="10" t="s">
        <v>33</v>
      </c>
      <c r="F16" s="23" t="s">
        <v>33</v>
      </c>
      <c r="G16" s="23" t="s">
        <v>33</v>
      </c>
      <c r="H16" s="15" t="s">
        <v>33</v>
      </c>
      <c r="I16" s="15" t="s">
        <v>33</v>
      </c>
      <c r="J16" s="20" t="s">
        <v>33</v>
      </c>
      <c r="K16" s="20" t="s">
        <v>33</v>
      </c>
      <c r="L16" s="26" t="s">
        <v>33</v>
      </c>
      <c r="M16" s="6" t="s">
        <v>33</v>
      </c>
      <c r="N16" s="12" t="s">
        <v>33</v>
      </c>
      <c r="O16" s="12" t="s">
        <v>33</v>
      </c>
      <c r="P16" s="12" t="s">
        <v>33</v>
      </c>
      <c r="Q16" s="17" t="s">
        <v>33</v>
      </c>
      <c r="R16" s="17" t="s">
        <v>33</v>
      </c>
      <c r="S16" s="17" t="s">
        <v>33</v>
      </c>
    </row>
    <row r="17" spans="1:19" x14ac:dyDescent="0.4">
      <c r="A17" s="29"/>
      <c r="B17" s="6"/>
      <c r="C17" s="6"/>
      <c r="D17" s="10"/>
      <c r="E17" s="10"/>
      <c r="F17" s="23"/>
      <c r="G17" s="23"/>
      <c r="H17" s="15"/>
      <c r="I17" s="15"/>
      <c r="J17" s="20"/>
      <c r="K17" s="20"/>
      <c r="L17" s="26"/>
      <c r="M17" s="6"/>
      <c r="N17" s="12"/>
      <c r="O17" s="12"/>
      <c r="P17" s="12"/>
      <c r="Q17" s="17"/>
      <c r="R17" s="17"/>
      <c r="S17" s="17"/>
    </row>
    <row r="18" spans="1:19" x14ac:dyDescent="0.4">
      <c r="A18" s="29"/>
      <c r="B18" s="6"/>
      <c r="C18" s="6"/>
      <c r="D18" s="10"/>
      <c r="E18" s="10"/>
      <c r="F18" s="23"/>
      <c r="G18" s="23"/>
      <c r="H18" s="15"/>
      <c r="I18" s="15"/>
      <c r="J18" s="20"/>
      <c r="K18" s="20"/>
      <c r="L18" s="26"/>
      <c r="M18" s="6"/>
      <c r="N18" s="12"/>
      <c r="O18" s="12"/>
      <c r="P18" s="12"/>
      <c r="Q18" s="17"/>
      <c r="R18" s="17"/>
      <c r="S18" s="17"/>
    </row>
    <row r="19" spans="1:19" x14ac:dyDescent="0.4">
      <c r="A19" s="29"/>
      <c r="B19" s="6"/>
      <c r="C19" s="6"/>
      <c r="D19" s="10"/>
      <c r="E19" s="10"/>
      <c r="F19" s="23"/>
      <c r="G19" s="23"/>
      <c r="H19" s="15"/>
      <c r="I19" s="15"/>
      <c r="J19" s="20"/>
      <c r="K19" s="20"/>
      <c r="L19" s="26"/>
      <c r="M19" s="6"/>
      <c r="N19" s="12"/>
      <c r="O19" s="12"/>
      <c r="P19" s="12"/>
      <c r="Q19" s="17"/>
      <c r="R19" s="17"/>
      <c r="S19" s="17"/>
    </row>
    <row r="20" spans="1:19" x14ac:dyDescent="0.4">
      <c r="A20" s="29"/>
      <c r="B20" s="6"/>
      <c r="C20" s="6"/>
      <c r="D20" s="10"/>
      <c r="E20" s="10"/>
      <c r="F20" s="23"/>
      <c r="G20" s="23"/>
      <c r="H20" s="15"/>
      <c r="I20" s="15"/>
      <c r="J20" s="20"/>
      <c r="K20" s="20"/>
      <c r="L20" s="26"/>
      <c r="M20" s="6"/>
      <c r="N20" s="12"/>
      <c r="O20" s="12"/>
      <c r="P20" s="12"/>
      <c r="Q20" s="17"/>
      <c r="R20" s="17"/>
      <c r="S20" s="17"/>
    </row>
    <row r="21" spans="1:19" x14ac:dyDescent="0.4">
      <c r="A21" s="29"/>
      <c r="B21" s="6"/>
      <c r="C21" s="6"/>
      <c r="D21" s="10"/>
      <c r="E21" s="10"/>
      <c r="F21" s="23"/>
      <c r="G21" s="23"/>
      <c r="H21" s="15"/>
      <c r="I21" s="15"/>
      <c r="J21" s="20"/>
      <c r="K21" s="20"/>
      <c r="L21" s="26"/>
      <c r="M21" s="6"/>
      <c r="N21" s="12"/>
      <c r="O21" s="12"/>
      <c r="P21" s="12"/>
      <c r="Q21" s="17"/>
      <c r="R21" s="17"/>
      <c r="S21" s="1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Cover</vt:lpstr>
      <vt:lpstr>Portfolio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2025-06-17T22:50:12Z</dcterms:created>
  <dcterms:modified xsi:type="dcterms:W3CDTF">2025-07-16T06:29:16Z</dcterms:modified>
</cp:coreProperties>
</file>